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ssan.mehmood\Desktop\BOD\PM Job Family\"/>
    </mc:Choice>
  </mc:AlternateContent>
  <xr:revisionPtr revIDLastSave="0" documentId="13_ncr:1_{636CC3E9-4ED1-491B-9CD0-33CEDBBE806B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📋 Instructions" sheetId="1" r:id="rId1"/>
    <sheet name="👤 Employee Assessment" sheetId="2" r:id="rId2"/>
    <sheet name="📊 PM Family Summary" sheetId="3" r:id="rId3"/>
    <sheet name="📈 Dashboard" sheetId="4" r:id="rId4"/>
    <sheet name="📑 PM Job Family 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3" i="5" l="1"/>
  <c r="E43" i="5" s="1"/>
  <c r="F43" i="5" s="1"/>
  <c r="G43" i="5" s="1"/>
  <c r="C43" i="5"/>
  <c r="B43" i="5"/>
  <c r="E42" i="5"/>
  <c r="F42" i="5" s="1"/>
  <c r="G42" i="5" s="1"/>
  <c r="D42" i="5"/>
  <c r="C42" i="5"/>
  <c r="B42" i="5"/>
  <c r="D41" i="5"/>
  <c r="C41" i="5"/>
  <c r="E41" i="5" s="1"/>
  <c r="F41" i="5" s="1"/>
  <c r="G41" i="5" s="1"/>
  <c r="B41" i="5"/>
  <c r="D40" i="5"/>
  <c r="C40" i="5"/>
  <c r="E40" i="5" s="1"/>
  <c r="F40" i="5" s="1"/>
  <c r="G40" i="5" s="1"/>
  <c r="B40" i="5"/>
  <c r="D35" i="5"/>
  <c r="E35" i="5" s="1"/>
  <c r="F35" i="5" s="1"/>
  <c r="G35" i="5" s="1"/>
  <c r="C35" i="5"/>
  <c r="B35" i="5"/>
  <c r="D34" i="5"/>
  <c r="C34" i="5"/>
  <c r="E34" i="5" s="1"/>
  <c r="F34" i="5" s="1"/>
  <c r="G34" i="5" s="1"/>
  <c r="B34" i="5"/>
  <c r="D33" i="5"/>
  <c r="C33" i="5"/>
  <c r="E33" i="5" s="1"/>
  <c r="F33" i="5" s="1"/>
  <c r="G33" i="5" s="1"/>
  <c r="B33" i="5"/>
  <c r="D32" i="5"/>
  <c r="E32" i="5" s="1"/>
  <c r="F32" i="5" s="1"/>
  <c r="G32" i="5" s="1"/>
  <c r="C32" i="5"/>
  <c r="B32" i="5"/>
  <c r="E31" i="5"/>
  <c r="F31" i="5" s="1"/>
  <c r="G31" i="5" s="1"/>
  <c r="D31" i="5"/>
  <c r="C31" i="5"/>
  <c r="B31" i="5"/>
  <c r="D30" i="5"/>
  <c r="C30" i="5"/>
  <c r="E30" i="5" s="1"/>
  <c r="F30" i="5" s="1"/>
  <c r="G30" i="5" s="1"/>
  <c r="B30" i="5"/>
  <c r="G15" i="5"/>
  <c r="F15" i="5"/>
  <c r="E15" i="5"/>
  <c r="D15" i="5"/>
  <c r="C15" i="5"/>
  <c r="B15" i="5"/>
  <c r="G14" i="5"/>
  <c r="F14" i="5"/>
  <c r="E14" i="5"/>
  <c r="D14" i="5"/>
  <c r="C14" i="5"/>
  <c r="B14" i="5"/>
  <c r="H13" i="5"/>
  <c r="G13" i="5"/>
  <c r="F13" i="5"/>
  <c r="E13" i="5"/>
  <c r="D13" i="5"/>
  <c r="C13" i="5"/>
  <c r="B13" i="5"/>
  <c r="G12" i="5"/>
  <c r="F12" i="5"/>
  <c r="E12" i="5"/>
  <c r="D12" i="5"/>
  <c r="C12" i="5"/>
  <c r="B12" i="5"/>
  <c r="H11" i="5"/>
  <c r="G11" i="5"/>
  <c r="F11" i="5"/>
  <c r="E11" i="5"/>
  <c r="D11" i="5"/>
  <c r="C11" i="5"/>
  <c r="B11" i="5"/>
  <c r="I10" i="5"/>
  <c r="H10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H7" i="5"/>
  <c r="G7" i="5"/>
  <c r="F7" i="5"/>
  <c r="E7" i="5"/>
  <c r="D7" i="5"/>
  <c r="C7" i="5"/>
  <c r="B7" i="5"/>
  <c r="G6" i="5"/>
  <c r="G17" i="5" s="1"/>
  <c r="F6" i="5"/>
  <c r="F17" i="5" s="1"/>
  <c r="H17" i="5" s="1"/>
  <c r="I17" i="5" s="1"/>
  <c r="E6" i="5"/>
  <c r="D6" i="5"/>
  <c r="C6" i="5"/>
  <c r="B6" i="5"/>
  <c r="D41" i="4"/>
  <c r="C41" i="4"/>
  <c r="B41" i="4"/>
  <c r="C40" i="4"/>
  <c r="B40" i="4"/>
  <c r="D40" i="4" s="1"/>
  <c r="C39" i="4"/>
  <c r="B39" i="4"/>
  <c r="D39" i="4" s="1"/>
  <c r="D38" i="4"/>
  <c r="C38" i="4"/>
  <c r="B38" i="4"/>
  <c r="C35" i="4"/>
  <c r="B35" i="4"/>
  <c r="D35" i="4" s="1"/>
  <c r="C34" i="4"/>
  <c r="D34" i="4" s="1"/>
  <c r="B34" i="4"/>
  <c r="C33" i="4"/>
  <c r="D33" i="4" s="1"/>
  <c r="B33" i="4"/>
  <c r="C32" i="4"/>
  <c r="B32" i="4"/>
  <c r="D32" i="4" s="1"/>
  <c r="C31" i="4"/>
  <c r="B31" i="4"/>
  <c r="D31" i="4" s="1"/>
  <c r="C30" i="4"/>
  <c r="D30" i="4" s="1"/>
  <c r="B30" i="4"/>
  <c r="F27" i="4"/>
  <c r="E27" i="4"/>
  <c r="D27" i="4"/>
  <c r="C27" i="4"/>
  <c r="B27" i="4"/>
  <c r="F26" i="4"/>
  <c r="E26" i="4"/>
  <c r="D26" i="4"/>
  <c r="C26" i="4"/>
  <c r="B26" i="4"/>
  <c r="F25" i="4"/>
  <c r="E25" i="4"/>
  <c r="D25" i="4"/>
  <c r="C25" i="4"/>
  <c r="B25" i="4"/>
  <c r="F24" i="4"/>
  <c r="E24" i="4"/>
  <c r="D24" i="4"/>
  <c r="C24" i="4"/>
  <c r="B24" i="4"/>
  <c r="G23" i="4"/>
  <c r="F23" i="4"/>
  <c r="E23" i="4"/>
  <c r="D23" i="4"/>
  <c r="C23" i="4"/>
  <c r="B23" i="4"/>
  <c r="F22" i="4"/>
  <c r="E22" i="4"/>
  <c r="D22" i="4"/>
  <c r="C22" i="4"/>
  <c r="B22" i="4"/>
  <c r="F21" i="4"/>
  <c r="E21" i="4"/>
  <c r="D21" i="4"/>
  <c r="C21" i="4"/>
  <c r="B21" i="4"/>
  <c r="F20" i="4"/>
  <c r="E20" i="4"/>
  <c r="D20" i="4"/>
  <c r="C20" i="4"/>
  <c r="B20" i="4"/>
  <c r="G19" i="4"/>
  <c r="F19" i="4"/>
  <c r="E19" i="4"/>
  <c r="D19" i="4"/>
  <c r="C19" i="4"/>
  <c r="B19" i="4"/>
  <c r="F18" i="4"/>
  <c r="E18" i="4"/>
  <c r="D18" i="4"/>
  <c r="C18" i="4"/>
  <c r="B18" i="4"/>
  <c r="E5" i="4"/>
  <c r="C5" i="4"/>
  <c r="G5" i="4" s="1"/>
  <c r="A5" i="4"/>
  <c r="I88" i="2"/>
  <c r="H88" i="2"/>
  <c r="I87" i="2"/>
  <c r="H87" i="2"/>
  <c r="I83" i="2"/>
  <c r="I82" i="2"/>
  <c r="H82" i="2"/>
  <c r="L76" i="2"/>
  <c r="J76" i="2"/>
  <c r="I76" i="2"/>
  <c r="M75" i="2"/>
  <c r="L75" i="2"/>
  <c r="H75" i="2"/>
  <c r="K75" i="2" s="1"/>
  <c r="N75" i="2" s="1"/>
  <c r="M74" i="2"/>
  <c r="L74" i="2"/>
  <c r="H74" i="2"/>
  <c r="K74" i="2" s="1"/>
  <c r="N74" i="2" s="1"/>
  <c r="M73" i="2"/>
  <c r="L73" i="2"/>
  <c r="H73" i="2"/>
  <c r="K73" i="2" s="1"/>
  <c r="N73" i="2" s="1"/>
  <c r="M72" i="2"/>
  <c r="L72" i="2"/>
  <c r="H72" i="2"/>
  <c r="K72" i="2" s="1"/>
  <c r="N72" i="2" s="1"/>
  <c r="M71" i="2"/>
  <c r="L71" i="2"/>
  <c r="H71" i="2"/>
  <c r="K71" i="2" s="1"/>
  <c r="N71" i="2" s="1"/>
  <c r="M70" i="2"/>
  <c r="L70" i="2"/>
  <c r="H70" i="2"/>
  <c r="K70" i="2" s="1"/>
  <c r="L67" i="2"/>
  <c r="J67" i="2"/>
  <c r="I67" i="2"/>
  <c r="M66" i="2"/>
  <c r="L66" i="2"/>
  <c r="H66" i="2"/>
  <c r="K66" i="2" s="1"/>
  <c r="N66" i="2" s="1"/>
  <c r="M65" i="2"/>
  <c r="L65" i="2"/>
  <c r="H65" i="2"/>
  <c r="K65" i="2" s="1"/>
  <c r="N65" i="2" s="1"/>
  <c r="M64" i="2"/>
  <c r="L64" i="2"/>
  <c r="H64" i="2"/>
  <c r="K64" i="2" s="1"/>
  <c r="N64" i="2" s="1"/>
  <c r="M63" i="2"/>
  <c r="L63" i="2"/>
  <c r="H63" i="2"/>
  <c r="K63" i="2" s="1"/>
  <c r="N63" i="2" s="1"/>
  <c r="M62" i="2"/>
  <c r="L62" i="2"/>
  <c r="H62" i="2"/>
  <c r="K62" i="2" s="1"/>
  <c r="N62" i="2" s="1"/>
  <c r="M61" i="2"/>
  <c r="L61" i="2"/>
  <c r="H61" i="2"/>
  <c r="L58" i="2"/>
  <c r="J58" i="2"/>
  <c r="H86" i="2" s="1"/>
  <c r="I58" i="2"/>
  <c r="I86" i="2" s="1"/>
  <c r="M57" i="2"/>
  <c r="L57" i="2"/>
  <c r="H57" i="2"/>
  <c r="K57" i="2" s="1"/>
  <c r="N57" i="2" s="1"/>
  <c r="M56" i="2"/>
  <c r="L56" i="2"/>
  <c r="H56" i="2"/>
  <c r="K56" i="2" s="1"/>
  <c r="N56" i="2" s="1"/>
  <c r="M55" i="2"/>
  <c r="L55" i="2"/>
  <c r="H55" i="2"/>
  <c r="K55" i="2" s="1"/>
  <c r="N55" i="2" s="1"/>
  <c r="M54" i="2"/>
  <c r="L54" i="2"/>
  <c r="H54" i="2"/>
  <c r="K54" i="2" s="1"/>
  <c r="N54" i="2" s="1"/>
  <c r="M53" i="2"/>
  <c r="L53" i="2"/>
  <c r="H53" i="2"/>
  <c r="K53" i="2" s="1"/>
  <c r="N53" i="2" s="1"/>
  <c r="M52" i="2"/>
  <c r="L52" i="2"/>
  <c r="H52" i="2"/>
  <c r="L49" i="2"/>
  <c r="J49" i="2"/>
  <c r="H85" i="2" s="1"/>
  <c r="I49" i="2"/>
  <c r="I85" i="2" s="1"/>
  <c r="M48" i="2"/>
  <c r="L48" i="2"/>
  <c r="H48" i="2"/>
  <c r="K48" i="2" s="1"/>
  <c r="N48" i="2" s="1"/>
  <c r="M47" i="2"/>
  <c r="L47" i="2"/>
  <c r="H47" i="2"/>
  <c r="K47" i="2" s="1"/>
  <c r="N47" i="2" s="1"/>
  <c r="M46" i="2"/>
  <c r="L46" i="2"/>
  <c r="H46" i="2"/>
  <c r="K46" i="2" s="1"/>
  <c r="N46" i="2" s="1"/>
  <c r="M45" i="2"/>
  <c r="L45" i="2"/>
  <c r="H45" i="2"/>
  <c r="K45" i="2" s="1"/>
  <c r="N45" i="2" s="1"/>
  <c r="M44" i="2"/>
  <c r="L44" i="2"/>
  <c r="H44" i="2"/>
  <c r="K44" i="2" s="1"/>
  <c r="N44" i="2" s="1"/>
  <c r="M43" i="2"/>
  <c r="L43" i="2"/>
  <c r="H43" i="2"/>
  <c r="K43" i="2" s="1"/>
  <c r="L40" i="2"/>
  <c r="J40" i="2"/>
  <c r="H84" i="2" s="1"/>
  <c r="I40" i="2"/>
  <c r="I84" i="2" s="1"/>
  <c r="M39" i="2"/>
  <c r="L39" i="2"/>
  <c r="H39" i="2"/>
  <c r="K39" i="2" s="1"/>
  <c r="N39" i="2" s="1"/>
  <c r="M38" i="2"/>
  <c r="L38" i="2"/>
  <c r="H38" i="2"/>
  <c r="K38" i="2" s="1"/>
  <c r="N38" i="2" s="1"/>
  <c r="M37" i="2"/>
  <c r="L37" i="2"/>
  <c r="H37" i="2"/>
  <c r="K37" i="2" s="1"/>
  <c r="N37" i="2" s="1"/>
  <c r="M36" i="2"/>
  <c r="L36" i="2"/>
  <c r="H36" i="2"/>
  <c r="K36" i="2" s="1"/>
  <c r="N36" i="2" s="1"/>
  <c r="M35" i="2"/>
  <c r="L35" i="2"/>
  <c r="H35" i="2"/>
  <c r="K35" i="2" s="1"/>
  <c r="L32" i="2"/>
  <c r="J32" i="2"/>
  <c r="H83" i="2" s="1"/>
  <c r="I32" i="2"/>
  <c r="M31" i="2"/>
  <c r="L31" i="2"/>
  <c r="H31" i="2"/>
  <c r="K31" i="2" s="1"/>
  <c r="N31" i="2" s="1"/>
  <c r="M30" i="2"/>
  <c r="L30" i="2"/>
  <c r="H30" i="2"/>
  <c r="K30" i="2" s="1"/>
  <c r="N30" i="2" s="1"/>
  <c r="M29" i="2"/>
  <c r="L29" i="2"/>
  <c r="H29" i="2"/>
  <c r="K29" i="2" s="1"/>
  <c r="N29" i="2" s="1"/>
  <c r="M28" i="2"/>
  <c r="L28" i="2"/>
  <c r="H28" i="2"/>
  <c r="K28" i="2" s="1"/>
  <c r="N28" i="2" s="1"/>
  <c r="M27" i="2"/>
  <c r="L27" i="2"/>
  <c r="H27" i="2"/>
  <c r="K27" i="2" s="1"/>
  <c r="L24" i="2"/>
  <c r="J24" i="2"/>
  <c r="I24" i="2"/>
  <c r="M23" i="2"/>
  <c r="L23" i="2"/>
  <c r="H23" i="2"/>
  <c r="K23" i="2" s="1"/>
  <c r="N23" i="2" s="1"/>
  <c r="M22" i="2"/>
  <c r="L22" i="2"/>
  <c r="H22" i="2"/>
  <c r="K22" i="2" s="1"/>
  <c r="N22" i="2" s="1"/>
  <c r="M21" i="2"/>
  <c r="L21" i="2"/>
  <c r="H21" i="2"/>
  <c r="K21" i="2" s="1"/>
  <c r="N21" i="2" s="1"/>
  <c r="M20" i="2"/>
  <c r="L20" i="2"/>
  <c r="H20" i="2"/>
  <c r="K20" i="2" s="1"/>
  <c r="N20" i="2" s="1"/>
  <c r="M19" i="2"/>
  <c r="L19" i="2"/>
  <c r="H19" i="2"/>
  <c r="K19" i="2" s="1"/>
  <c r="N19" i="2" s="1"/>
  <c r="M18" i="2"/>
  <c r="L18" i="2"/>
  <c r="H18" i="2"/>
  <c r="K18" i="2" s="1"/>
  <c r="L15" i="2"/>
  <c r="J15" i="2"/>
  <c r="H81" i="2" s="1"/>
  <c r="I15" i="2"/>
  <c r="I81" i="2" s="1"/>
  <c r="M14" i="2"/>
  <c r="L14" i="2"/>
  <c r="H14" i="2"/>
  <c r="K14" i="2" s="1"/>
  <c r="N14" i="2" s="1"/>
  <c r="M13" i="2"/>
  <c r="L13" i="2"/>
  <c r="H13" i="2"/>
  <c r="M12" i="2"/>
  <c r="L12" i="2"/>
  <c r="H12" i="2"/>
  <c r="K12" i="2" s="1"/>
  <c r="N12" i="2" s="1"/>
  <c r="M11" i="2"/>
  <c r="L11" i="2"/>
  <c r="H11" i="2"/>
  <c r="K11" i="2" s="1"/>
  <c r="N11" i="2" s="1"/>
  <c r="M10" i="2"/>
  <c r="L10" i="2"/>
  <c r="H10" i="2"/>
  <c r="K10" i="2" s="1"/>
  <c r="D48" i="3"/>
  <c r="C48" i="3"/>
  <c r="E48" i="3" s="1"/>
  <c r="D47" i="3"/>
  <c r="C47" i="3"/>
  <c r="E47" i="3" s="1"/>
  <c r="D46" i="3"/>
  <c r="E46" i="3" s="1"/>
  <c r="C46" i="3"/>
  <c r="D45" i="3"/>
  <c r="C45" i="3"/>
  <c r="E45" i="3" s="1"/>
  <c r="E42" i="3"/>
  <c r="D42" i="3"/>
  <c r="C42" i="3"/>
  <c r="D41" i="3"/>
  <c r="E41" i="3" s="1"/>
  <c r="C41" i="3"/>
  <c r="D40" i="3"/>
  <c r="C40" i="3"/>
  <c r="E40" i="3" s="1"/>
  <c r="E39" i="3"/>
  <c r="D39" i="3"/>
  <c r="C39" i="3"/>
  <c r="D38" i="3"/>
  <c r="C38" i="3"/>
  <c r="E38" i="3" s="1"/>
  <c r="D37" i="3"/>
  <c r="C37" i="3"/>
  <c r="E37" i="3" s="1"/>
  <c r="E33" i="3"/>
  <c r="D33" i="3"/>
  <c r="F33" i="3" s="1"/>
  <c r="G33" i="3" s="1"/>
  <c r="C33" i="3"/>
  <c r="E32" i="3"/>
  <c r="D32" i="3"/>
  <c r="F32" i="3" s="1"/>
  <c r="G32" i="3" s="1"/>
  <c r="C32" i="3"/>
  <c r="E31" i="3"/>
  <c r="E34" i="3" s="1"/>
  <c r="D31" i="3"/>
  <c r="F31" i="3" s="1"/>
  <c r="G31" i="3" s="1"/>
  <c r="C31" i="3"/>
  <c r="C34" i="3" s="1"/>
  <c r="E30" i="3"/>
  <c r="D30" i="3"/>
  <c r="F30" i="3" s="1"/>
  <c r="G30" i="3" s="1"/>
  <c r="C30" i="3"/>
  <c r="E25" i="3"/>
  <c r="D25" i="3"/>
  <c r="D26" i="3" s="1"/>
  <c r="F26" i="3" s="1"/>
  <c r="G26" i="3" s="1"/>
  <c r="C25" i="3"/>
  <c r="E24" i="3"/>
  <c r="D24" i="3"/>
  <c r="F24" i="3" s="1"/>
  <c r="G24" i="3" s="1"/>
  <c r="C24" i="3"/>
  <c r="E23" i="3"/>
  <c r="F23" i="3" s="1"/>
  <c r="G23" i="3" s="1"/>
  <c r="D23" i="3"/>
  <c r="C23" i="3"/>
  <c r="E22" i="3"/>
  <c r="E26" i="3" s="1"/>
  <c r="D22" i="3"/>
  <c r="C22" i="3"/>
  <c r="E21" i="3"/>
  <c r="F21" i="3" s="1"/>
  <c r="G21" i="3" s="1"/>
  <c r="D21" i="3"/>
  <c r="C21" i="3"/>
  <c r="F20" i="3"/>
  <c r="G20" i="3" s="1"/>
  <c r="E20" i="3"/>
  <c r="D20" i="3"/>
  <c r="C20" i="3"/>
  <c r="C26" i="3" s="1"/>
  <c r="I16" i="3"/>
  <c r="J16" i="3" s="1"/>
  <c r="H16" i="3"/>
  <c r="G16" i="3"/>
  <c r="I14" i="3"/>
  <c r="H15" i="5" s="1"/>
  <c r="I13" i="3"/>
  <c r="J13" i="3" s="1"/>
  <c r="I12" i="3"/>
  <c r="G25" i="4" s="1"/>
  <c r="I11" i="3"/>
  <c r="H12" i="5" s="1"/>
  <c r="I10" i="3"/>
  <c r="J10" i="3" s="1"/>
  <c r="J9" i="3"/>
  <c r="H22" i="4" s="1"/>
  <c r="I9" i="3"/>
  <c r="G22" i="4" s="1"/>
  <c r="I8" i="3"/>
  <c r="H9" i="5" s="1"/>
  <c r="I7" i="3"/>
  <c r="J7" i="3" s="1"/>
  <c r="J6" i="3"/>
  <c r="I7" i="5" s="1"/>
  <c r="I6" i="3"/>
  <c r="I5" i="3"/>
  <c r="G18" i="4" s="1"/>
  <c r="J86" i="2" l="1"/>
  <c r="K86" i="2" s="1"/>
  <c r="J84" i="2"/>
  <c r="J87" i="2"/>
  <c r="K87" i="2" s="1"/>
  <c r="J81" i="2"/>
  <c r="K81" i="2" s="1"/>
  <c r="K24" i="2"/>
  <c r="N18" i="2"/>
  <c r="K49" i="2"/>
  <c r="N43" i="2"/>
  <c r="K84" i="2"/>
  <c r="K76" i="2"/>
  <c r="N70" i="2"/>
  <c r="H23" i="4"/>
  <c r="K10" i="3"/>
  <c r="I11" i="5"/>
  <c r="N27" i="2"/>
  <c r="K32" i="2"/>
  <c r="K13" i="3"/>
  <c r="H26" i="4"/>
  <c r="I14" i="5"/>
  <c r="K40" i="2"/>
  <c r="N35" i="2"/>
  <c r="K7" i="3"/>
  <c r="I8" i="5"/>
  <c r="H20" i="4"/>
  <c r="J14" i="3"/>
  <c r="K52" i="2"/>
  <c r="G20" i="4"/>
  <c r="J5" i="3"/>
  <c r="J82" i="2"/>
  <c r="K82" i="2" s="1"/>
  <c r="H8" i="5"/>
  <c r="J78" i="2"/>
  <c r="K6" i="3"/>
  <c r="J11" i="3"/>
  <c r="F22" i="3"/>
  <c r="G22" i="3" s="1"/>
  <c r="J83" i="2"/>
  <c r="K83" i="2" s="1"/>
  <c r="N10" i="2"/>
  <c r="G24" i="4"/>
  <c r="J85" i="2"/>
  <c r="K85" i="2" s="1"/>
  <c r="H14" i="5"/>
  <c r="K9" i="3"/>
  <c r="K13" i="2"/>
  <c r="N13" i="2" s="1"/>
  <c r="G27" i="4"/>
  <c r="I78" i="2"/>
  <c r="F25" i="3"/>
  <c r="G25" i="3" s="1"/>
  <c r="D34" i="3"/>
  <c r="F34" i="3" s="1"/>
  <c r="G34" i="3" s="1"/>
  <c r="K61" i="2"/>
  <c r="G26" i="4"/>
  <c r="H19" i="4"/>
  <c r="J12" i="3"/>
  <c r="G21" i="4"/>
  <c r="J8" i="3"/>
  <c r="J88" i="2"/>
  <c r="K88" i="2" s="1"/>
  <c r="H6" i="5"/>
  <c r="K78" i="2" l="1"/>
  <c r="N78" i="2" s="1"/>
  <c r="L78" i="2"/>
  <c r="I6" i="5"/>
  <c r="A8" i="4"/>
  <c r="C8" i="4"/>
  <c r="B24" i="5"/>
  <c r="C24" i="5" s="1"/>
  <c r="B25" i="5"/>
  <c r="C25" i="5" s="1"/>
  <c r="B23" i="5"/>
  <c r="C23" i="5" s="1"/>
  <c r="I5" i="4"/>
  <c r="K5" i="4"/>
  <c r="K5" i="3"/>
  <c r="H18" i="4"/>
  <c r="B22" i="5"/>
  <c r="C22" i="5" s="1"/>
  <c r="J10" i="5"/>
  <c r="I22" i="4"/>
  <c r="I15" i="5"/>
  <c r="H27" i="4"/>
  <c r="K14" i="3"/>
  <c r="I26" i="4"/>
  <c r="J14" i="5"/>
  <c r="I9" i="5"/>
  <c r="K8" i="3"/>
  <c r="H21" i="4"/>
  <c r="I13" i="5"/>
  <c r="H25" i="4"/>
  <c r="K12" i="3"/>
  <c r="J8" i="5"/>
  <c r="I20" i="4"/>
  <c r="I23" i="4"/>
  <c r="J11" i="5"/>
  <c r="N61" i="2"/>
  <c r="K67" i="2"/>
  <c r="I12" i="5"/>
  <c r="K11" i="3"/>
  <c r="H24" i="4"/>
  <c r="K15" i="2"/>
  <c r="K58" i="2"/>
  <c r="N52" i="2"/>
  <c r="J7" i="5"/>
  <c r="I19" i="4"/>
  <c r="M78" i="2" l="1"/>
  <c r="J13" i="5"/>
  <c r="I25" i="4"/>
  <c r="I18" i="4"/>
  <c r="J6" i="5"/>
  <c r="J9" i="5"/>
  <c r="I21" i="4"/>
  <c r="J12" i="5"/>
  <c r="I24" i="4"/>
  <c r="J15" i="5"/>
  <c r="I27" i="4"/>
</calcChain>
</file>

<file path=xl/sharedStrings.xml><?xml version="1.0" encoding="utf-8"?>
<sst xmlns="http://schemas.openxmlformats.org/spreadsheetml/2006/main" count="429" uniqueCount="287">
  <si>
    <t>PROJECT MANAGEMENT COMPETENCY ASSESSMENT FRAMEWORK</t>
  </si>
  <si>
    <t>Technical Competency Assessment Tool  |  Line Manager &amp; Self-Evaluation</t>
  </si>
  <si>
    <t xml:space="preserve">  📌  HOW TO USE THIS TOOL</t>
  </si>
  <si>
    <t xml:space="preserve">  Step 1:  Enter Employee Details</t>
  </si>
  <si>
    <t xml:space="preserve">  Go to '👤 Employee Assessment'. Enter Name, Position, Division, Department, Date.</t>
  </si>
  <si>
    <t xml:space="preserve">  Step 2:  Employee Self-Evaluation (Column K)</t>
  </si>
  <si>
    <t xml:space="preserve">  The EMPLOYEE rates themselves honestly on each sub-competency (1–5). This is done BEFORE the Line Manager rates.</t>
  </si>
  <si>
    <t xml:space="preserve">  Step 3:  Line Manager Rating (Column L)</t>
  </si>
  <si>
    <t xml:space="preserve">  The LINE MANAGER independently rates the same sub-competencies (1–5) based on observed behaviour.</t>
  </si>
  <si>
    <t xml:space="preserve">  Step 4:  Review Auto-Calculated Results</t>
  </si>
  <si>
    <t xml:space="preserve">  Gap Analysis is based on LM rating only. The tool shows: Required Level, LM Rating, Gap, and Status per sub-competency.</t>
  </si>
  <si>
    <t xml:space="preserve">  Step 5:  Compare Self vs LM Rating</t>
  </si>
  <si>
    <t xml:space="preserve">  Column M shows the difference (Self − LM). Positive = employee overestimates; Negative = employee underestimates.</t>
  </si>
  <si>
    <t xml:space="preserve">  Step 6:  Competency Gap at a Glance</t>
  </si>
  <si>
    <t xml:space="preserve">  The Summary section shows a TRAFFIC LIGHT score: 🟢 Strong  🟡 Developing  🔴 Needs Focus.</t>
  </si>
  <si>
    <t xml:space="preserve">  Step 7:  HR Family Summary &amp; Dashboard</t>
  </si>
  <si>
    <t xml:space="preserve">  Go to '📊 PM Family Summary' to view all employees. '📈 Dashboard' shows division and designation analytics.</t>
  </si>
  <si>
    <t xml:space="preserve">  📊  COMPETENCY SCALE — 5 STAGES</t>
  </si>
  <si>
    <t>Rating</t>
  </si>
  <si>
    <t>Stage</t>
  </si>
  <si>
    <t>Description in Plain Language</t>
  </si>
  <si>
    <t>Color</t>
  </si>
  <si>
    <t>Amateur</t>
  </si>
  <si>
    <t>Just starting. Needs step-by-step supervision on almost every task.</t>
  </si>
  <si>
    <t>◼◼◼</t>
  </si>
  <si>
    <t>Collaborator</t>
  </si>
  <si>
    <t>Building skills. Can contribute but still needs support from others.</t>
  </si>
  <si>
    <t>Enabler</t>
  </si>
  <si>
    <t>Competent and independent. Handles routine tasks without supervision.</t>
  </si>
  <si>
    <t>Driving Force</t>
  </si>
  <si>
    <t>Advanced. Leads others, improves practices, goes beyond the basics.</t>
  </si>
  <si>
    <t>Visionary</t>
  </si>
  <si>
    <t>Expert. Shapes strategy, mentors teams, drives company-wide impact.</t>
  </si>
  <si>
    <t xml:space="preserve">  🚦  SKILL GAP SCORE — EASY GUIDE FOR LEADERSHIP</t>
  </si>
  <si>
    <t>Score</t>
  </si>
  <si>
    <t>What it means</t>
  </si>
  <si>
    <t>Traffic Light</t>
  </si>
  <si>
    <t>Board-level message</t>
  </si>
  <si>
    <t>0 – 10</t>
  </si>
  <si>
    <t>Employee meets all or nearly all requirements</t>
  </si>
  <si>
    <t>🟢 Strong</t>
  </si>
  <si>
    <t>No action needed — maintain and recognise</t>
  </si>
  <si>
    <t>11 – 30</t>
  </si>
  <si>
    <t>Some gaps exist — moderate development needed</t>
  </si>
  <si>
    <t>🟡 Developing</t>
  </si>
  <si>
    <t>Targeted development plan recommended</t>
  </si>
  <si>
    <t>31 – 60</t>
  </si>
  <si>
    <t>Significant gaps across multiple competencies</t>
  </si>
  <si>
    <t>🟠 Needs Focus</t>
  </si>
  <si>
    <t>Structured development plan required</t>
  </si>
  <si>
    <t>&gt; 60</t>
  </si>
  <si>
    <t>Critical gaps — employee significantly below requirements</t>
  </si>
  <si>
    <t>🔴 Critical</t>
  </si>
  <si>
    <t>Urgent intervention and close monitoring needed</t>
  </si>
  <si>
    <t xml:space="preserve">  ①  Competency Gap = Sum of (Required Level − LM Rating) for all sub-competencies.  Higher = more development needed.    ②  % Gap = Total Gap ÷ Max Possible × 100.  0% = fully meets requirements.    ③  Self vs LM Difference = Employee's own rating minus LM rating.  Positive = employee over-rates themselves.</t>
  </si>
  <si>
    <t>PROJECT MANAGEMENT — COMPETENCY ASSESSMENT SHEET</t>
  </si>
  <si>
    <t>Project Management Job Family  |  Step 1: Employee Self-Rates  →  Step 2: Line Manager Rates  |  Gap analysis based on LM rating</t>
  </si>
  <si>
    <t>Employee Name:</t>
  </si>
  <si>
    <t>Date:</t>
  </si>
  <si>
    <t>Assessor (Line Manager):</t>
  </si>
  <si>
    <t>Position:</t>
  </si>
  <si>
    <t>Head</t>
  </si>
  <si>
    <t>Division:</t>
  </si>
  <si>
    <t>Department:</t>
  </si>
  <si>
    <t>Assessment Period:</t>
  </si>
  <si>
    <t>Employee ID:</t>
  </si>
  <si>
    <t>Grade / Band:</t>
  </si>
  <si>
    <t>Years in Role:</t>
  </si>
  <si>
    <t>#</t>
  </si>
  <si>
    <t>Sub-Competency</t>
  </si>
  <si>
    <t>IC/DM
Req.</t>
  </si>
  <si>
    <t>Mgr
Req.</t>
  </si>
  <si>
    <t>Head
Req.</t>
  </si>
  <si>
    <t>Chief
Req.</t>
  </si>
  <si>
    <t>Required
Competency Level
(Auto)</t>
  </si>
  <si>
    <t>① Employee
Self-Rating
(1–5)</t>
  </si>
  <si>
    <t>② Line Manager
Rating (1–5) ★</t>
  </si>
  <si>
    <t>Skill Gap
(Req − LM)</t>
  </si>
  <si>
    <t>Self vs LM
(Self − LM)</t>
  </si>
  <si>
    <t>LM Competency Level
Stage</t>
  </si>
  <si>
    <t>Status</t>
  </si>
  <si>
    <t>Employee fills first ↑</t>
  </si>
  <si>
    <t>LM fills second ↑</t>
  </si>
  <si>
    <t xml:space="preserve">  1.   ROOT CAUSE ANALYSIS &amp; RISK ASSESSMENT</t>
  </si>
  <si>
    <t>1.1</t>
  </si>
  <si>
    <t>Root Cause &amp; Risk Management Mastery</t>
  </si>
  <si>
    <t>1.2</t>
  </si>
  <si>
    <t>Strategic Risk &amp; Failure Prevention</t>
  </si>
  <si>
    <t>1.3</t>
  </si>
  <si>
    <t>Integrated Risk &amp; Impact Analysis</t>
  </si>
  <si>
    <t>1.4</t>
  </si>
  <si>
    <t>Proactive Risk &amp; Operational Resilience</t>
  </si>
  <si>
    <t>1.5</t>
  </si>
  <si>
    <t>Executive Risk Strategy &amp; Innovation</t>
  </si>
  <si>
    <t xml:space="preserve">  ∑  Root Cause Analysis &amp; Risk Assessment</t>
  </si>
  <si>
    <t>Req →</t>
  </si>
  <si>
    <t>LM Stage</t>
  </si>
  <si>
    <t>← Gap Total</t>
  </si>
  <si>
    <t xml:space="preserve">  2.   STAKEHOLDER &amp; CONTRACT MANAGEMENT</t>
  </si>
  <si>
    <t>2.1</t>
  </si>
  <si>
    <t>Strategic Stakeholder &amp; Contract Governance</t>
  </si>
  <si>
    <t>2.2</t>
  </si>
  <si>
    <t>Visionary Stakeholder &amp; Contract Negotiation</t>
  </si>
  <si>
    <t>2.3</t>
  </si>
  <si>
    <t>Stakeholder-Centric Contract Governance</t>
  </si>
  <si>
    <t>2.4</t>
  </si>
  <si>
    <t>Strategic Contract Compliance &amp; Negotiation</t>
  </si>
  <si>
    <t>2.5</t>
  </si>
  <si>
    <t>Ethical Stakeholder &amp; Contract Leadership</t>
  </si>
  <si>
    <t>2.6</t>
  </si>
  <si>
    <t>Stakeholder &amp; Contract Performance Optimization</t>
  </si>
  <si>
    <t xml:space="preserve">  ∑  Stakeholder &amp; Contract Management</t>
  </si>
  <si>
    <t xml:space="preserve">  3.   PROJECT PLANNING &amp; EXECUTION</t>
  </si>
  <si>
    <t>3.1</t>
  </si>
  <si>
    <t>Enterprise Project Strategy &amp; Execution</t>
  </si>
  <si>
    <t>3.2</t>
  </si>
  <si>
    <t>Strategic Project Planning &amp; Optimization</t>
  </si>
  <si>
    <t>3.3</t>
  </si>
  <si>
    <t>Project Governance &amp; Compliance Integration</t>
  </si>
  <si>
    <t>3.4</t>
  </si>
  <si>
    <t>Project Monitoring &amp; Refinement</t>
  </si>
  <si>
    <t>3.5</t>
  </si>
  <si>
    <t>Cross-Functional Project Leadership</t>
  </si>
  <si>
    <t xml:space="preserve">  ∑  Project Planning &amp; Execution</t>
  </si>
  <si>
    <t xml:space="preserve">  4.   PROPOSAL DEVELOPMENT &amp; INTERNAL COORDINATION</t>
  </si>
  <si>
    <t>4.1</t>
  </si>
  <si>
    <t>Proposal Development &amp; Governance</t>
  </si>
  <si>
    <t>4.2</t>
  </si>
  <si>
    <t>Proposal Alignment &amp; Optimization</t>
  </si>
  <si>
    <t>4.3</t>
  </si>
  <si>
    <t>Communication &amp; Negotiation Excellence</t>
  </si>
  <si>
    <t>4.4</t>
  </si>
  <si>
    <t>Proposal Optimization &amp; Governance Strategy</t>
  </si>
  <si>
    <t>4.5</t>
  </si>
  <si>
    <t>Proposal Excellence &amp; Impact</t>
  </si>
  <si>
    <t xml:space="preserve">  ∑  Proposal Development &amp; Internal Coordination</t>
  </si>
  <si>
    <t xml:space="preserve">  5.   RESOURCE MANAGEMENT &amp; BUDGET CONTROL</t>
  </si>
  <si>
    <t>5.1</t>
  </si>
  <si>
    <t>Enterprise Budgeting &amp; Resource Optimization</t>
  </si>
  <si>
    <t>5.2</t>
  </si>
  <si>
    <t>Financial Compliance &amp; Resource Governance</t>
  </si>
  <si>
    <t>5.3</t>
  </si>
  <si>
    <t>Financial Automation &amp; Optimization</t>
  </si>
  <si>
    <t>5.4</t>
  </si>
  <si>
    <t>Cost Efficiency &amp; Waste Reduction</t>
  </si>
  <si>
    <t>5.5</t>
  </si>
  <si>
    <t>Budget Variance Analysis &amp; Optimization</t>
  </si>
  <si>
    <t>5.6</t>
  </si>
  <si>
    <t>Financial Governance &amp; Resource Optimization</t>
  </si>
  <si>
    <t xml:space="preserve">  ∑  Resource Management &amp; Budget Control</t>
  </si>
  <si>
    <t xml:space="preserve">  6.   DIGITAL PM &amp; TECHNOLOGY INNOVATION</t>
  </si>
  <si>
    <t>6.1</t>
  </si>
  <si>
    <t>Project Management System Optimization</t>
  </si>
  <si>
    <t>6.2</t>
  </si>
  <si>
    <t>AI-Driven Digital Efficiency &amp; Automation</t>
  </si>
  <si>
    <t>6.3</t>
  </si>
  <si>
    <t>AI-Driven ERP Transformation</t>
  </si>
  <si>
    <t>6.4</t>
  </si>
  <si>
    <t>IT Enablement &amp; Digital Innovation</t>
  </si>
  <si>
    <t>6.5</t>
  </si>
  <si>
    <t>IT Troubleshooting &amp; Intelligent Automation</t>
  </si>
  <si>
    <t>6.6</t>
  </si>
  <si>
    <t>IT Optimization &amp; Automation Strategy</t>
  </si>
  <si>
    <t xml:space="preserve">  ∑  Digital PM &amp; Technology Innovation</t>
  </si>
  <si>
    <t xml:space="preserve">  7.   OPERATIONS &amp; SUSTAINABILITY MANAGEMENT</t>
  </si>
  <si>
    <t>7.1</t>
  </si>
  <si>
    <t>Outsourced Maintenance &amp; Sustainability Optimization</t>
  </si>
  <si>
    <t>7.2</t>
  </si>
  <si>
    <t>Sustainability Integration &amp; Compliance</t>
  </si>
  <si>
    <t>7.3</t>
  </si>
  <si>
    <t>Vendor Governance &amp; Sustainability Compliance</t>
  </si>
  <si>
    <t>7.4</t>
  </si>
  <si>
    <t>Sustainable Outsourcing &amp; Digital Efficiency</t>
  </si>
  <si>
    <t>7.5</t>
  </si>
  <si>
    <t>Sustainable Vendor Management &amp; Innovation</t>
  </si>
  <si>
    <t>7.6</t>
  </si>
  <si>
    <t>Maintenance &amp; Vendor Excellence</t>
  </si>
  <si>
    <t xml:space="preserve">  ∑  Operations &amp; Sustainability Management</t>
  </si>
  <si>
    <t xml:space="preserve">  8.   PROFESSIONAL CERTIFICATIONS</t>
  </si>
  <si>
    <t>8.1</t>
  </si>
  <si>
    <t>Certification Progression &amp; Expertise</t>
  </si>
  <si>
    <t>8.2</t>
  </si>
  <si>
    <t>Certification-Driven Project Excellence &amp; Leadership</t>
  </si>
  <si>
    <t>8.3</t>
  </si>
  <si>
    <t>Certification-Based Leadership &amp; Compliance Strategy</t>
  </si>
  <si>
    <t>8.4</t>
  </si>
  <si>
    <t>Certification-Based Governance &amp; Transformation</t>
  </si>
  <si>
    <t>8.5</t>
  </si>
  <si>
    <t>Certification-Driven Leadership &amp; Continuous Learning</t>
  </si>
  <si>
    <t>8.6</t>
  </si>
  <si>
    <t>Certification-Driven Leadership &amp; Strategic Alignment</t>
  </si>
  <si>
    <t xml:space="preserve">  ∑  Professional Certifications</t>
  </si>
  <si>
    <t>Req Competency Level</t>
  </si>
  <si>
    <t>Avg Self Rating</t>
  </si>
  <si>
    <t>Avg LM Rating</t>
  </si>
  <si>
    <t>Avg Competency
Gap (1-5)</t>
  </si>
  <si>
    <t>Self−LM Diff</t>
  </si>
  <si>
    <t>% Gap</t>
  </si>
  <si>
    <t xml:space="preserve">  ★  OVERALL ASSESSMENT SUMMARY</t>
  </si>
  <si>
    <t>Competency Area</t>
  </si>
  <si>
    <t>Required Level</t>
  </si>
  <si>
    <t>Gap
(Req − LM)</t>
  </si>
  <si>
    <t>Root Cause Analysis &amp; Ris</t>
  </si>
  <si>
    <t>Stakeholder &amp; Contract Ma</t>
  </si>
  <si>
    <t>Project Planning &amp; Execut</t>
  </si>
  <si>
    <t>Proposal Development &amp; In</t>
  </si>
  <si>
    <t>Resource Management &amp; Bud</t>
  </si>
  <si>
    <t>Digital PM &amp; Technology I</t>
  </si>
  <si>
    <t>Operations &amp; Sustainabili</t>
  </si>
  <si>
    <t>Professional Certificatio</t>
  </si>
  <si>
    <t>PROJECT MANAGEMENT JOB FAMILY — COMPETENCY ASSESSMENT SUMMARY</t>
  </si>
  <si>
    <t>Required vs Current Competency Level  |  Scale 1–5  |  🟢 No Gap  🟡 Developing (Gap ≤ 1)  🟠 Needs Focus (Gap ≤ 2)  🔴 Critical (Gap &gt; 2)</t>
  </si>
  <si>
    <t>Employee Name</t>
  </si>
  <si>
    <t>Position</t>
  </si>
  <si>
    <t>Division</t>
  </si>
  <si>
    <t>Department</t>
  </si>
  <si>
    <t>Required
Competency Level</t>
  </si>
  <si>
    <t>Current
Competency Level</t>
  </si>
  <si>
    <t>Competency
Gap</t>
  </si>
  <si>
    <t>Development Plan</t>
  </si>
  <si>
    <t>Ahmed Raza</t>
  </si>
  <si>
    <t>Manager</t>
  </si>
  <si>
    <t>ISD</t>
  </si>
  <si>
    <t>Sara Qureshi</t>
  </si>
  <si>
    <t>IP</t>
  </si>
  <si>
    <t>Bilal Khan</t>
  </si>
  <si>
    <t>In-charge/DM</t>
  </si>
  <si>
    <t>EPC</t>
  </si>
  <si>
    <t>Ayesha Noor</t>
  </si>
  <si>
    <t>Chief</t>
  </si>
  <si>
    <t>Corporate</t>
  </si>
  <si>
    <t>Omar Farooq</t>
  </si>
  <si>
    <t>Cluster</t>
  </si>
  <si>
    <t>Fatima Ali</t>
  </si>
  <si>
    <t>Construction</t>
  </si>
  <si>
    <t>Hamza Sheikh</t>
  </si>
  <si>
    <t>Zainab Malik</t>
  </si>
  <si>
    <t>Usman Tariq</t>
  </si>
  <si>
    <t>Nadia Iqbal</t>
  </si>
  <si>
    <t>★  PM FAMILY AVERAGE</t>
  </si>
  <si>
    <t>📊  DIVISION-WISE COMPETENCY SUMMARY</t>
  </si>
  <si>
    <t># Employees</t>
  </si>
  <si>
    <t>TOTAL / AVERAGE</t>
  </si>
  <si>
    <t>📊  DESIGNATION-WISE COMPETENCY SUMMARY</t>
  </si>
  <si>
    <t>Designation</t>
  </si>
  <si>
    <t>Required</t>
  </si>
  <si>
    <t>Current</t>
  </si>
  <si>
    <t>Gap</t>
  </si>
  <si>
    <t>PROJECT MANAGEMENT COMPETENCY — MANAGEMENT DASHBOARD</t>
  </si>
  <si>
    <t>Competency Gap Analysis  |  PM Job Family  |  All figures on 1–5 scale</t>
  </si>
  <si>
    <t>Employees
Assessed</t>
  </si>
  <si>
    <t>PM Family Required
Competency Level</t>
  </si>
  <si>
    <t>PM Family Current
Competency Level</t>
  </si>
  <si>
    <t>PM Family Competency
Gap</t>
  </si>
  <si>
    <t>🟢 No Gap</t>
  </si>
  <si>
    <t>🚦  COMPETENCY GAP GUIDE</t>
  </si>
  <si>
    <t>Gap = 0</t>
  </si>
  <si>
    <t>Employee meets / exceeds all requirements. No action needed.</t>
  </si>
  <si>
    <t>Gap 0–1</t>
  </si>
  <si>
    <t>Some gaps. Targeted individual development plan recommended.</t>
  </si>
  <si>
    <t>Gap 1–2</t>
  </si>
  <si>
    <t>Significant gaps. Structured development plan required.</t>
  </si>
  <si>
    <t>Gap &gt; 2</t>
  </si>
  <si>
    <t>Critical gaps. Urgent intervention and monitoring needed.</t>
  </si>
  <si>
    <t>📋  EMPLOYEE COMPETENCY OVERVIEW</t>
  </si>
  <si>
    <t>Employee</t>
  </si>
  <si>
    <t>Dev Plan</t>
  </si>
  <si>
    <t>PM JOB FAMILY — COMPLETE COMPETENCY ASSESSMENT SUMMARY</t>
  </si>
  <si>
    <t>Consolidated view: All employees | Required vs Current Competency Level | Competency Gap | Scale 1–5</t>
  </si>
  <si>
    <t xml:space="preserve">  SECTION A — INDIVIDUAL EMPLOYEE COMPETENCY TABLE</t>
  </si>
  <si>
    <t>Development
Plan</t>
  </si>
  <si>
    <t>★  AVERAGE</t>
  </si>
  <si>
    <t xml:space="preserve">  SECTION B — COMPETENCY CATEGORY DISTRIBUTION</t>
  </si>
  <si>
    <t>Category</t>
  </si>
  <si>
    <t>Count</t>
  </si>
  <si>
    <t>% of Total</t>
  </si>
  <si>
    <t>Action Required</t>
  </si>
  <si>
    <t>No Action Needed</t>
  </si>
  <si>
    <t>Targeted Dev Plan</t>
  </si>
  <si>
    <t>Structured Dev Plan</t>
  </si>
  <si>
    <t>Urgent Intervention</t>
  </si>
  <si>
    <t xml:space="preserve">  SECTION C — DIVISION-WISE COMPETENCY SUMMARY</t>
  </si>
  <si>
    <t>Required Competency Level</t>
  </si>
  <si>
    <t>Current Competency Level</t>
  </si>
  <si>
    <t>Competency Gap</t>
  </si>
  <si>
    <t>Development Action</t>
  </si>
  <si>
    <t xml:space="preserve">  SECTION D — DESIGNATION-WISE COMPETENCY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</si>
</sst>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%"/>
    <numFmt numFmtId="165" formatCode="0.0"/>
  </numFmts>
  <fonts count="5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2C3E50"/>
      <name val="Arial"/>
      <charset val="1"/>
    </font>
    <font>
      <b/>
      <sz val="9"/>
      <color rgb="FF7D5A02"/>
      <name val="Cambria"/>
      <charset val="1"/>
    </font>
    <font>
      <b/>
      <sz val="9"/>
      <color rgb="FF1A3C5E"/>
      <name val="Arial"/>
      <charset val="1"/>
    </font>
    <font>
      <b/>
      <sz val="9"/>
      <color rgb="FF833C00"/>
      <name val="Cambria"/>
      <charset val="1"/>
    </font>
    <font>
      <b/>
      <sz val="9"/>
      <color rgb="FF9C0006"/>
      <name val="Cambria"/>
      <charset val="1"/>
    </font>
    <font>
      <i/>
      <sz val="8"/>
      <color rgb="FF2C3E50"/>
      <name val="Arial"/>
      <charset val="1"/>
    </font>
    <font>
      <b/>
      <sz val="15"/>
      <color rgb="FFFFFFFF"/>
      <name val="Arial"/>
      <charset val="1"/>
    </font>
    <font>
      <i/>
      <sz val="9"/>
      <color rgb="FFFFFFFF"/>
      <name val="Arial"/>
      <charset val="1"/>
    </font>
    <font>
      <b/>
      <sz val="8"/>
      <color rgb="FF1A3C5E"/>
      <name val="Arial"/>
      <charset val="1"/>
    </font>
    <font>
      <b/>
      <sz val="9"/>
      <color rgb="FFFFFFFF"/>
      <name val="Arial"/>
      <charset val="1"/>
    </font>
    <font>
      <i/>
      <sz val="7"/>
      <color rgb="FF0E7A6B"/>
      <name val="Arial"/>
      <charset val="1"/>
    </font>
    <font>
      <i/>
      <sz val="7"/>
      <color rgb="FFCA6F1E"/>
      <name val="Arial"/>
      <charset val="1"/>
    </font>
    <font>
      <b/>
      <sz val="8"/>
      <color rgb="FF7F8C8D"/>
      <name val="Arial"/>
      <charset val="1"/>
    </font>
    <font>
      <b/>
      <sz val="9"/>
      <color rgb="FF2C3E50"/>
      <name val="Arial"/>
      <charset val="1"/>
    </font>
    <font>
      <b/>
      <sz val="10"/>
      <color rgb="FF2C3E50"/>
      <name val="Arial"/>
      <charset val="1"/>
    </font>
    <font>
      <b/>
      <sz val="9"/>
      <name val="Arial"/>
      <charset val="1"/>
    </font>
    <font>
      <i/>
      <sz val="9"/>
      <name val="Arial"/>
      <charset val="1"/>
    </font>
    <font>
      <b/>
      <sz val="8"/>
      <name val="Arial"/>
      <charset val="1"/>
    </font>
    <font>
      <i/>
      <sz val="7"/>
      <color rgb="FF7F8C8D"/>
      <name val="Arial"/>
      <charset val="1"/>
    </font>
    <font>
      <b/>
      <sz val="12"/>
      <color rgb="FFFFFFFF"/>
      <name val="Arial"/>
      <charset val="1"/>
    </font>
    <font>
      <b/>
      <sz val="11"/>
      <color rgb="FF7D5A02"/>
      <name val="Cambria"/>
      <charset val="1"/>
    </font>
    <font>
      <sz val="9"/>
      <name val="Arial"/>
      <charset val="1"/>
    </font>
    <font>
      <b/>
      <sz val="14"/>
      <color rgb="FF1F4E79"/>
      <name val="Cambria"/>
      <charset val="1"/>
    </font>
    <font>
      <sz val="11"/>
      <name val="Cambria"/>
      <charset val="1"/>
    </font>
    <font>
      <b/>
      <sz val="9"/>
      <color rgb="FF375623"/>
      <name val="Cambria"/>
      <charset val="1"/>
    </font>
    <font>
      <b/>
      <sz val="10"/>
      <color rgb="FFFFFFFF"/>
      <name val="Cambria"/>
      <charset val="1"/>
    </font>
    <font>
      <sz val="10"/>
      <name val="Cambria"/>
      <charset val="1"/>
    </font>
    <font>
      <b/>
      <sz val="10"/>
      <color rgb="FF7D5A02"/>
      <name val="Cambria"/>
      <charset val="1"/>
    </font>
    <font>
      <b/>
      <sz val="10"/>
      <color rgb="FF375623"/>
      <name val="Cambria"/>
      <charset val="1"/>
    </font>
    <font>
      <b/>
      <sz val="10"/>
      <color rgb="FF833C00"/>
      <name val="Cambria"/>
      <charset val="1"/>
    </font>
    <font>
      <b/>
      <sz val="10"/>
      <color rgb="FF9C0006"/>
      <name val="Cambria"/>
      <charset val="1"/>
    </font>
    <font>
      <b/>
      <sz val="11"/>
      <color rgb="FFFFFFFF"/>
      <name val="Cambria"/>
      <charset val="1"/>
    </font>
    <font>
      <b/>
      <sz val="15"/>
      <color rgb="FF1F4E79"/>
      <name val="Cambria"/>
      <charset val="1"/>
    </font>
    <font>
      <i/>
      <sz val="9"/>
      <color rgb="FF555555"/>
      <name val="Cambria"/>
      <charset val="1"/>
    </font>
    <font>
      <b/>
      <sz val="9"/>
      <color rgb="FFFFFFFF"/>
      <name val="Cambria"/>
      <charset val="1"/>
    </font>
    <font>
      <b/>
      <sz val="16"/>
      <color rgb="FFFFFFFF"/>
      <name val="Cambria"/>
      <charset val="1"/>
    </font>
    <font>
      <b/>
      <sz val="16"/>
      <color rgb="FF7D5A02"/>
      <name val="Cambria"/>
      <charset val="1"/>
    </font>
    <font>
      <b/>
      <sz val="16"/>
      <color rgb="FF833C00"/>
      <name val="Cambria"/>
      <charset val="1"/>
    </font>
    <font>
      <b/>
      <sz val="16"/>
      <color rgb="FF375623"/>
      <name val="Cambria"/>
      <charset val="1"/>
    </font>
    <font>
      <b/>
      <sz val="16"/>
      <color rgb="FF9C0006"/>
      <name val="Cambria"/>
      <charset val="1"/>
    </font>
    <font>
      <b/>
      <sz val="10"/>
      <name val="Cambria"/>
      <charset val="1"/>
    </font>
    <font>
      <sz val="9"/>
      <name val="Cambria"/>
      <charset val="1"/>
    </font>
    <font>
      <b/>
      <sz val="14"/>
      <color rgb="FFFFFFFF"/>
      <name val="Cambria"/>
      <charset val="1"/>
    </font>
    <font>
      <sz val="10"/>
      <color rgb="FF375623"/>
      <name val="Cambria"/>
      <charset val="1"/>
    </font>
    <font>
      <sz val="10"/>
      <color rgb="FF7D5A02"/>
      <name val="Cambria"/>
      <charset val="1"/>
    </font>
    <font>
      <sz val="10"/>
      <color rgb="FF833C00"/>
      <name val="Cambria"/>
      <charset val="1"/>
    </font>
    <font>
      <sz val="10"/>
      <color rgb="FF9C0006"/>
      <name val="Cambria"/>
      <charset val="1"/>
    </font>
  </fonts>
  <fills count="35">
    <fill>
      <patternFill patternType="none"/>
    </fill>
    <fill>
      <patternFill patternType="gray125"/>
    </fill>
    <fill>
      <patternFill patternType="solid">
        <fgColor rgb="FF1A3C5E"/>
        <bgColor rgb="FF2C3E50"/>
      </patternFill>
    </fill>
    <fill>
      <patternFill patternType="solid">
        <fgColor rgb="FF0E7A6B"/>
        <bgColor rgb="FF117A65"/>
      </patternFill>
    </fill>
    <fill>
      <patternFill patternType="solid">
        <fgColor rgb="FFD6E8F5"/>
        <bgColor rgb="FFD6EAF8"/>
      </patternFill>
    </fill>
    <fill>
      <patternFill patternType="solid">
        <fgColor rgb="FFD0F0EA"/>
        <bgColor rgb="FFD5F5E3"/>
      </patternFill>
    </fill>
    <fill>
      <patternFill patternType="solid">
        <fgColor rgb="FFB8860B"/>
        <bgColor rgb="FFCA6F1E"/>
      </patternFill>
    </fill>
    <fill>
      <patternFill patternType="solid">
        <fgColor rgb="FFFDF6DC"/>
        <bgColor rgb="FFFFF3CD"/>
      </patternFill>
    </fill>
    <fill>
      <patternFill patternType="solid">
        <fgColor rgb="FF2E6EA6"/>
        <bgColor rgb="FF2E75B6"/>
      </patternFill>
    </fill>
    <fill>
      <patternFill patternType="solid">
        <fgColor rgb="FFDCE8F5"/>
        <bgColor rgb="FFD6E8F5"/>
      </patternFill>
    </fill>
    <fill>
      <patternFill patternType="solid">
        <fgColor rgb="FF6B3A8E"/>
        <bgColor rgb="FF555555"/>
      </patternFill>
    </fill>
    <fill>
      <patternFill patternType="solid">
        <fgColor rgb="FFEDE0F5"/>
        <bgColor rgb="FFDCE8F5"/>
      </patternFill>
    </fill>
    <fill>
      <patternFill patternType="solid">
        <fgColor rgb="FFC0392B"/>
        <bgColor rgb="FFC55A11"/>
      </patternFill>
    </fill>
    <fill>
      <patternFill patternType="solid">
        <fgColor rgb="FFFFEB9C"/>
        <bgColor rgb="FFFDEBD0"/>
      </patternFill>
    </fill>
    <fill>
      <patternFill patternType="solid">
        <fgColor rgb="FF117A65"/>
        <bgColor rgb="FF0E7A6B"/>
      </patternFill>
    </fill>
    <fill>
      <patternFill patternType="solid">
        <fgColor rgb="FFD5F5E3"/>
        <bgColor rgb="FFD0F0EA"/>
      </patternFill>
    </fill>
    <fill>
      <patternFill patternType="solid">
        <fgColor rgb="FFFADBD8"/>
        <bgColor rgb="FFFCE4D6"/>
      </patternFill>
    </fill>
    <fill>
      <patternFill patternType="solid">
        <fgColor rgb="FFFDEBD0"/>
        <bgColor rgb="FFF5E8D5"/>
      </patternFill>
    </fill>
    <fill>
      <patternFill patternType="solid">
        <fgColor rgb="FFC8F7C5"/>
        <bgColor rgb="FFC6EFCE"/>
      </patternFill>
    </fill>
    <fill>
      <patternFill patternType="solid">
        <fgColor rgb="FFFCE4D6"/>
        <bgColor rgb="FFF5E8D5"/>
      </patternFill>
    </fill>
    <fill>
      <patternFill patternType="solid">
        <fgColor rgb="FFFFC7CE"/>
        <bgColor rgb="FFFADBD8"/>
      </patternFill>
    </fill>
    <fill>
      <patternFill patternType="solid">
        <fgColor rgb="FFF2F3F4"/>
        <bgColor rgb="FFEBF3FB"/>
      </patternFill>
    </fill>
    <fill>
      <patternFill patternType="solid">
        <fgColor rgb="FFFFFDE7"/>
        <bgColor rgb="FFFDF6DC"/>
      </patternFill>
    </fill>
    <fill>
      <patternFill patternType="solid">
        <fgColor rgb="FFE0F8F4"/>
        <bgColor rgb="FFE8F4FD"/>
      </patternFill>
    </fill>
    <fill>
      <patternFill patternType="solid">
        <fgColor rgb="FFFFF3CD"/>
        <bgColor rgb="FFFDF6DC"/>
      </patternFill>
    </fill>
    <fill>
      <patternFill patternType="solid">
        <fgColor rgb="FFE8F4FD"/>
        <bgColor rgb="FFEBF3FB"/>
      </patternFill>
    </fill>
    <fill>
      <patternFill patternType="solid">
        <fgColor rgb="FFFDEDEC"/>
        <bgColor rgb="FFF2F3F4"/>
      </patternFill>
    </fill>
    <fill>
      <patternFill patternType="solid">
        <fgColor rgb="FF8E5A1A"/>
        <bgColor rgb="FF7D5A02"/>
      </patternFill>
    </fill>
    <fill>
      <patternFill patternType="solid">
        <fgColor rgb="FFF5E8D5"/>
        <bgColor rgb="FFFCE4D6"/>
      </patternFill>
    </fill>
    <fill>
      <patternFill patternType="solid">
        <fgColor rgb="FFC6EFCE"/>
        <bgColor rgb="FFC8F7C5"/>
      </patternFill>
    </fill>
    <fill>
      <patternFill patternType="solid">
        <fgColor rgb="FF1F4E79"/>
        <bgColor rgb="FF1A3C5E"/>
      </patternFill>
    </fill>
    <fill>
      <patternFill patternType="solid">
        <fgColor rgb="FFEBF3FB"/>
        <bgColor rgb="FFE8F4FD"/>
      </patternFill>
    </fill>
    <fill>
      <patternFill patternType="solid">
        <fgColor rgb="FFFFFFFF"/>
        <bgColor rgb="FFFFFDE7"/>
      </patternFill>
    </fill>
    <fill>
      <patternFill patternType="solid">
        <fgColor rgb="FF2E75B6"/>
        <bgColor rgb="FF2E6EA6"/>
      </patternFill>
    </fill>
    <fill>
      <patternFill patternType="solid">
        <fgColor rgb="FFC55A11"/>
        <bgColor rgb="FFCA6F1E"/>
      </patternFill>
    </fill>
  </fills>
  <borders count="7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B8860B"/>
      </bottom>
      <diagonal/>
    </border>
    <border>
      <left style="medium">
        <color rgb="FF0E7A6B"/>
      </left>
      <right style="medium">
        <color rgb="FF0E7A6B"/>
      </right>
      <top style="thin">
        <color rgb="FF0E7A6B"/>
      </top>
      <bottom style="thin">
        <color rgb="FF0E7A6B"/>
      </bottom>
      <diagonal/>
    </border>
    <border>
      <left style="medium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29" fillId="29" borderId="0" xfId="0" applyFont="1" applyFill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left" vertical="center" wrapText="1"/>
    </xf>
    <xf numFmtId="0" fontId="5" fillId="16" borderId="2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left" vertical="center" wrapText="1"/>
    </xf>
    <xf numFmtId="0" fontId="5" fillId="1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5" fillId="15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left" vertical="center" wrapText="1"/>
    </xf>
    <xf numFmtId="0" fontId="5" fillId="18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9" fillId="20" borderId="2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right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5" fillId="23" borderId="0" xfId="0" applyFont="1" applyFill="1" applyAlignment="1">
      <alignment horizontal="center" vertical="center"/>
    </xf>
    <xf numFmtId="0" fontId="16" fillId="24" borderId="0" xfId="0" applyFont="1" applyFill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 indent="1"/>
    </xf>
    <xf numFmtId="0" fontId="18" fillId="25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2" fontId="19" fillId="23" borderId="4" xfId="0" applyNumberFormat="1" applyFont="1" applyFill="1" applyBorder="1" applyAlignment="1">
      <alignment horizontal="center" vertical="center"/>
    </xf>
    <xf numFmtId="2" fontId="19" fillId="24" borderId="5" xfId="0" applyNumberFormat="1" applyFont="1" applyFill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2" fontId="14" fillId="2" borderId="2" xfId="0" applyNumberFormat="1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 indent="1"/>
    </xf>
    <xf numFmtId="0" fontId="14" fillId="3" borderId="2" xfId="0" applyFont="1" applyFill="1" applyBorder="1" applyAlignment="1">
      <alignment horizontal="center" vertical="center"/>
    </xf>
    <xf numFmtId="2" fontId="14" fillId="3" borderId="2" xfId="0" applyNumberFormat="1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wrapText="1" indent="1"/>
    </xf>
    <xf numFmtId="0" fontId="14" fillId="6" borderId="2" xfId="0" applyFont="1" applyFill="1" applyBorder="1" applyAlignment="1">
      <alignment horizontal="center" vertical="center"/>
    </xf>
    <xf numFmtId="2" fontId="14" fillId="6" borderId="2" xfId="0" applyNumberFormat="1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 wrapText="1" indent="1"/>
    </xf>
    <xf numFmtId="0" fontId="14" fillId="8" borderId="2" xfId="0" applyFont="1" applyFill="1" applyBorder="1" applyAlignment="1">
      <alignment horizontal="center" vertical="center"/>
    </xf>
    <xf numFmtId="2" fontId="14" fillId="8" borderId="2" xfId="0" applyNumberFormat="1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 wrapText="1" indent="1"/>
    </xf>
    <xf numFmtId="0" fontId="14" fillId="10" borderId="2" xfId="0" applyFont="1" applyFill="1" applyBorder="1" applyAlignment="1">
      <alignment horizontal="center" vertical="center"/>
    </xf>
    <xf numFmtId="2" fontId="14" fillId="10" borderId="2" xfId="0" applyNumberFormat="1" applyFont="1" applyFill="1" applyBorder="1" applyAlignment="1">
      <alignment horizontal="center" vertical="center"/>
    </xf>
    <xf numFmtId="0" fontId="17" fillId="26" borderId="2" xfId="0" applyFont="1" applyFill="1" applyBorder="1" applyAlignment="1">
      <alignment horizontal="center" vertical="center"/>
    </xf>
    <xf numFmtId="0" fontId="5" fillId="26" borderId="2" xfId="0" applyFont="1" applyFill="1" applyBorder="1" applyAlignment="1">
      <alignment horizontal="left" vertical="center" wrapText="1" indent="1"/>
    </xf>
    <xf numFmtId="0" fontId="14" fillId="12" borderId="2" xfId="0" applyFont="1" applyFill="1" applyBorder="1" applyAlignment="1">
      <alignment horizontal="center" vertical="center"/>
    </xf>
    <xf numFmtId="2" fontId="14" fillId="12" borderId="2" xfId="0" applyNumberFormat="1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vertical="center" wrapText="1" indent="1"/>
    </xf>
    <xf numFmtId="0" fontId="14" fillId="14" borderId="2" xfId="0" applyFont="1" applyFill="1" applyBorder="1" applyAlignment="1">
      <alignment horizontal="center" vertical="center"/>
    </xf>
    <xf numFmtId="2" fontId="14" fillId="14" borderId="2" xfId="0" applyNumberFormat="1" applyFont="1" applyFill="1" applyBorder="1" applyAlignment="1">
      <alignment horizontal="center" vertical="center"/>
    </xf>
    <xf numFmtId="0" fontId="17" fillId="28" borderId="2" xfId="0" applyFont="1" applyFill="1" applyBorder="1" applyAlignment="1">
      <alignment horizontal="center" vertical="center"/>
    </xf>
    <xf numFmtId="0" fontId="5" fillId="28" borderId="2" xfId="0" applyFont="1" applyFill="1" applyBorder="1" applyAlignment="1">
      <alignment horizontal="left" vertical="center" wrapText="1" indent="1"/>
    </xf>
    <xf numFmtId="0" fontId="14" fillId="27" borderId="2" xfId="0" applyFont="1" applyFill="1" applyBorder="1" applyAlignment="1">
      <alignment horizontal="center" vertical="center"/>
    </xf>
    <xf numFmtId="2" fontId="14" fillId="27" borderId="2" xfId="0" applyNumberFormat="1" applyFont="1" applyFill="1" applyBorder="1" applyAlignment="1">
      <alignment horizontal="center" vertical="center"/>
    </xf>
    <xf numFmtId="0" fontId="23" fillId="21" borderId="0" xfId="0" applyFont="1" applyFill="1" applyAlignment="1">
      <alignment horizontal="center" vertical="center"/>
    </xf>
    <xf numFmtId="0" fontId="23" fillId="21" borderId="0" xfId="0" applyFont="1" applyFill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/>
    </xf>
    <xf numFmtId="2" fontId="3" fillId="6" borderId="2" xfId="0" applyNumberFormat="1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2" fontId="3" fillId="8" borderId="2" xfId="0" applyNumberFormat="1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2" fontId="26" fillId="0" borderId="2" xfId="0" applyNumberFormat="1" applyFont="1" applyBorder="1" applyAlignment="1">
      <alignment horizontal="center"/>
    </xf>
    <xf numFmtId="0" fontId="28" fillId="0" borderId="0" xfId="0" applyFont="1"/>
    <xf numFmtId="0" fontId="30" fillId="30" borderId="6" xfId="0" applyFont="1" applyFill="1" applyBorder="1" applyAlignment="1">
      <alignment horizontal="center" vertical="center" wrapText="1"/>
    </xf>
    <xf numFmtId="0" fontId="31" fillId="31" borderId="2" xfId="0" applyFont="1" applyFill="1" applyBorder="1" applyAlignment="1">
      <alignment horizontal="center" vertical="center"/>
    </xf>
    <xf numFmtId="165" fontId="31" fillId="31" borderId="2" xfId="0" applyNumberFormat="1" applyFont="1" applyFill="1" applyBorder="1" applyAlignment="1">
      <alignment horizontal="center" vertical="center"/>
    </xf>
    <xf numFmtId="0" fontId="32" fillId="13" borderId="2" xfId="0" applyFont="1" applyFill="1" applyBorder="1" applyAlignment="1">
      <alignment horizontal="center" vertical="center"/>
    </xf>
    <xf numFmtId="0" fontId="33" fillId="29" borderId="2" xfId="0" applyFont="1" applyFill="1" applyBorder="1" applyAlignment="1">
      <alignment horizontal="center" vertical="center"/>
    </xf>
    <xf numFmtId="0" fontId="31" fillId="32" borderId="2" xfId="0" applyFont="1" applyFill="1" applyBorder="1" applyAlignment="1">
      <alignment horizontal="center" vertical="center"/>
    </xf>
    <xf numFmtId="165" fontId="31" fillId="32" borderId="2" xfId="0" applyNumberFormat="1" applyFont="1" applyFill="1" applyBorder="1" applyAlignment="1">
      <alignment horizontal="center" vertical="center"/>
    </xf>
    <xf numFmtId="2" fontId="33" fillId="29" borderId="2" xfId="0" applyNumberFormat="1" applyFont="1" applyFill="1" applyBorder="1" applyAlignment="1">
      <alignment horizontal="center" vertical="center"/>
    </xf>
    <xf numFmtId="2" fontId="28" fillId="0" borderId="0" xfId="0" applyNumberFormat="1" applyFont="1"/>
    <xf numFmtId="164" fontId="28" fillId="0" borderId="0" xfId="0" applyNumberFormat="1" applyFont="1"/>
    <xf numFmtId="2" fontId="34" fillId="19" borderId="2" xfId="0" applyNumberFormat="1" applyFont="1" applyFill="1" applyBorder="1" applyAlignment="1">
      <alignment horizontal="center" vertical="center"/>
    </xf>
    <xf numFmtId="2" fontId="32" fillId="13" borderId="2" xfId="0" applyNumberFormat="1" applyFont="1" applyFill="1" applyBorder="1" applyAlignment="1">
      <alignment horizontal="center" vertical="center"/>
    </xf>
    <xf numFmtId="2" fontId="35" fillId="20" borderId="2" xfId="0" applyNumberFormat="1" applyFont="1" applyFill="1" applyBorder="1" applyAlignment="1">
      <alignment horizontal="center" vertical="center"/>
    </xf>
    <xf numFmtId="0" fontId="30" fillId="30" borderId="0" xfId="0" applyFont="1" applyFill="1" applyAlignment="1">
      <alignment horizontal="center" vertical="center"/>
    </xf>
    <xf numFmtId="165" fontId="30" fillId="30" borderId="0" xfId="0" applyNumberFormat="1" applyFont="1" applyFill="1" applyAlignment="1">
      <alignment horizontal="center" vertical="center"/>
    </xf>
    <xf numFmtId="2" fontId="32" fillId="13" borderId="0" xfId="0" applyNumberFormat="1" applyFont="1" applyFill="1" applyAlignment="1">
      <alignment horizontal="center" vertical="center"/>
    </xf>
    <xf numFmtId="2" fontId="30" fillId="30" borderId="0" xfId="0" applyNumberFormat="1" applyFont="1" applyFill="1" applyAlignment="1">
      <alignment horizontal="center" vertical="center"/>
    </xf>
    <xf numFmtId="0" fontId="30" fillId="33" borderId="6" xfId="0" applyFont="1" applyFill="1" applyBorder="1" applyAlignment="1">
      <alignment horizontal="center" vertical="center" wrapText="1"/>
    </xf>
    <xf numFmtId="2" fontId="30" fillId="33" borderId="6" xfId="0" applyNumberFormat="1" applyFont="1" applyFill="1" applyBorder="1" applyAlignment="1">
      <alignment horizontal="center" vertical="center" wrapText="1"/>
    </xf>
    <xf numFmtId="165" fontId="34" fillId="19" borderId="2" xfId="0" applyNumberFormat="1" applyFont="1" applyFill="1" applyBorder="1" applyAlignment="1">
      <alignment horizontal="center" vertical="center"/>
    </xf>
    <xf numFmtId="165" fontId="33" fillId="29" borderId="2" xfId="0" applyNumberFormat="1" applyFont="1" applyFill="1" applyBorder="1" applyAlignment="1">
      <alignment horizontal="center" vertical="center"/>
    </xf>
    <xf numFmtId="165" fontId="32" fillId="13" borderId="2" xfId="0" applyNumberFormat="1" applyFont="1" applyFill="1" applyBorder="1" applyAlignment="1">
      <alignment horizontal="center" vertical="center"/>
    </xf>
    <xf numFmtId="165" fontId="32" fillId="13" borderId="0" xfId="0" applyNumberFormat="1" applyFont="1" applyFill="1" applyAlignment="1">
      <alignment horizontal="center" vertical="center"/>
    </xf>
    <xf numFmtId="165" fontId="28" fillId="0" borderId="0" xfId="0" applyNumberFormat="1" applyFont="1"/>
    <xf numFmtId="0" fontId="39" fillId="33" borderId="0" xfId="0" applyFont="1" applyFill="1" applyAlignment="1">
      <alignment horizontal="center" vertical="center" wrapText="1"/>
    </xf>
    <xf numFmtId="0" fontId="33" fillId="29" borderId="0" xfId="0" applyFont="1" applyFill="1" applyAlignment="1">
      <alignment horizontal="center" vertical="center"/>
    </xf>
    <xf numFmtId="0" fontId="35" fillId="20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2" fillId="13" borderId="0" xfId="0" applyFont="1" applyFill="1" applyAlignment="1">
      <alignment horizontal="center" vertical="center"/>
    </xf>
    <xf numFmtId="0" fontId="34" fillId="19" borderId="0" xfId="0" applyFont="1" applyFill="1" applyAlignment="1">
      <alignment horizontal="center" vertical="center"/>
    </xf>
    <xf numFmtId="2" fontId="39" fillId="33" borderId="0" xfId="0" applyNumberFormat="1" applyFont="1" applyFill="1" applyAlignment="1">
      <alignment horizontal="center" vertical="center" wrapText="1"/>
    </xf>
    <xf numFmtId="0" fontId="46" fillId="31" borderId="2" xfId="0" applyFont="1" applyFill="1" applyBorder="1" applyAlignment="1">
      <alignment horizontal="center" vertical="center"/>
    </xf>
    <xf numFmtId="2" fontId="46" fillId="31" borderId="2" xfId="0" applyNumberFormat="1" applyFont="1" applyFill="1" applyBorder="1" applyAlignment="1">
      <alignment horizontal="center" vertical="center"/>
    </xf>
    <xf numFmtId="165" fontId="46" fillId="31" borderId="2" xfId="0" applyNumberFormat="1" applyFont="1" applyFill="1" applyBorder="1" applyAlignment="1">
      <alignment horizontal="center" vertical="center"/>
    </xf>
    <xf numFmtId="0" fontId="46" fillId="32" borderId="2" xfId="0" applyFont="1" applyFill="1" applyBorder="1" applyAlignment="1">
      <alignment horizontal="center" vertical="center"/>
    </xf>
    <xf numFmtId="2" fontId="46" fillId="32" borderId="2" xfId="0" applyNumberFormat="1" applyFont="1" applyFill="1" applyBorder="1" applyAlignment="1">
      <alignment horizontal="center" vertical="center"/>
    </xf>
    <xf numFmtId="165" fontId="46" fillId="32" borderId="2" xfId="0" applyNumberFormat="1" applyFont="1" applyFill="1" applyBorder="1" applyAlignment="1">
      <alignment horizontal="center" vertical="center"/>
    </xf>
    <xf numFmtId="164" fontId="46" fillId="32" borderId="2" xfId="0" applyNumberFormat="1" applyFont="1" applyFill="1" applyBorder="1" applyAlignment="1">
      <alignment horizontal="center" vertical="center"/>
    </xf>
    <xf numFmtId="0" fontId="34" fillId="19" borderId="2" xfId="0" applyFont="1" applyFill="1" applyBorder="1" applyAlignment="1">
      <alignment horizontal="center" vertical="center"/>
    </xf>
    <xf numFmtId="0" fontId="35" fillId="20" borderId="2" xfId="0" applyFont="1" applyFill="1" applyBorder="1" applyAlignment="1">
      <alignment horizontal="center" vertical="center"/>
    </xf>
    <xf numFmtId="0" fontId="39" fillId="30" borderId="2" xfId="0" applyFont="1" applyFill="1" applyBorder="1" applyAlignment="1">
      <alignment horizontal="center" vertical="center" wrapText="1"/>
    </xf>
    <xf numFmtId="0" fontId="39" fillId="30" borderId="0" xfId="0" applyFont="1" applyFill="1" applyAlignment="1">
      <alignment horizontal="center" vertical="center"/>
    </xf>
    <xf numFmtId="165" fontId="39" fillId="30" borderId="0" xfId="0" applyNumberFormat="1" applyFont="1" applyFill="1" applyAlignment="1">
      <alignment horizontal="center" vertical="center"/>
    </xf>
    <xf numFmtId="0" fontId="48" fillId="29" borderId="2" xfId="0" applyFont="1" applyFill="1" applyBorder="1" applyAlignment="1">
      <alignment horizontal="center" vertical="center"/>
    </xf>
    <xf numFmtId="0" fontId="49" fillId="13" borderId="2" xfId="0" applyFont="1" applyFill="1" applyBorder="1" applyAlignment="1">
      <alignment horizontal="center" vertical="center"/>
    </xf>
    <xf numFmtId="0" fontId="50" fillId="19" borderId="2" xfId="0" applyFont="1" applyFill="1" applyBorder="1" applyAlignment="1">
      <alignment horizontal="center" vertical="center"/>
    </xf>
    <xf numFmtId="0" fontId="51" fillId="20" borderId="2" xfId="0" applyFont="1" applyFill="1" applyBorder="1" applyAlignment="1">
      <alignment horizontal="center" vertical="center"/>
    </xf>
    <xf numFmtId="0" fontId="29" fillId="29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14" fillId="2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 indent="1"/>
    </xf>
    <xf numFmtId="0" fontId="14" fillId="3" borderId="1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 indent="1"/>
    </xf>
    <xf numFmtId="0" fontId="14" fillId="6" borderId="1" xfId="0" applyFont="1" applyFill="1" applyBorder="1" applyAlignment="1">
      <alignment horizontal="left" vertical="center"/>
    </xf>
    <xf numFmtId="0" fontId="4" fillId="8" borderId="0" xfId="0" applyFont="1" applyFill="1" applyAlignment="1">
      <alignment horizontal="left" vertical="center" indent="1"/>
    </xf>
    <xf numFmtId="0" fontId="14" fillId="8" borderId="1" xfId="0" applyFont="1" applyFill="1" applyBorder="1" applyAlignment="1">
      <alignment horizontal="left" vertical="center"/>
    </xf>
    <xf numFmtId="0" fontId="4" fillId="10" borderId="0" xfId="0" applyFont="1" applyFill="1" applyAlignment="1">
      <alignment horizontal="left" vertical="center" indent="1"/>
    </xf>
    <xf numFmtId="0" fontId="14" fillId="10" borderId="1" xfId="0" applyFont="1" applyFill="1" applyBorder="1" applyAlignment="1">
      <alignment horizontal="left" vertical="center"/>
    </xf>
    <xf numFmtId="0" fontId="4" fillId="12" borderId="0" xfId="0" applyFont="1" applyFill="1" applyAlignment="1">
      <alignment horizontal="left" vertical="center" indent="1"/>
    </xf>
    <xf numFmtId="0" fontId="14" fillId="12" borderId="1" xfId="0" applyFont="1" applyFill="1" applyBorder="1" applyAlignment="1">
      <alignment horizontal="left" vertical="center"/>
    </xf>
    <xf numFmtId="0" fontId="4" fillId="14" borderId="0" xfId="0" applyFont="1" applyFill="1" applyAlignment="1">
      <alignment horizontal="left" vertical="center" indent="1"/>
    </xf>
    <xf numFmtId="0" fontId="14" fillId="14" borderId="1" xfId="0" applyFont="1" applyFill="1" applyBorder="1" applyAlignment="1">
      <alignment horizontal="left" vertical="center"/>
    </xf>
    <xf numFmtId="0" fontId="4" fillId="27" borderId="0" xfId="0" applyFont="1" applyFill="1" applyAlignment="1">
      <alignment horizontal="left" vertical="center" indent="1"/>
    </xf>
    <xf numFmtId="0" fontId="14" fillId="27" borderId="1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top" wrapText="1" indent="1"/>
    </xf>
    <xf numFmtId="0" fontId="4" fillId="3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top" wrapText="1" indent="1"/>
    </xf>
    <xf numFmtId="0" fontId="4" fillId="6" borderId="2" xfId="0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top" wrapText="1" indent="1"/>
    </xf>
    <xf numFmtId="0" fontId="4" fillId="8" borderId="2" xfId="0" applyFont="1" applyFill="1" applyBorder="1" applyAlignment="1">
      <alignment horizontal="left" vertical="center" indent="1"/>
    </xf>
    <xf numFmtId="0" fontId="5" fillId="9" borderId="2" xfId="0" applyFont="1" applyFill="1" applyBorder="1" applyAlignment="1">
      <alignment horizontal="left" vertical="top" wrapText="1" indent="1"/>
    </xf>
    <xf numFmtId="0" fontId="4" fillId="10" borderId="2" xfId="0" applyFont="1" applyFill="1" applyBorder="1" applyAlignment="1">
      <alignment horizontal="left" vertical="center" indent="1"/>
    </xf>
    <xf numFmtId="0" fontId="5" fillId="11" borderId="2" xfId="0" applyFont="1" applyFill="1" applyBorder="1" applyAlignment="1">
      <alignment horizontal="left" vertical="top" wrapText="1" indent="1"/>
    </xf>
    <xf numFmtId="0" fontId="4" fillId="12" borderId="2" xfId="0" applyFont="1" applyFill="1" applyBorder="1" applyAlignment="1">
      <alignment horizontal="left" vertical="center" indent="1"/>
    </xf>
    <xf numFmtId="0" fontId="6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left" vertical="center" indent="1"/>
    </xf>
    <xf numFmtId="0" fontId="5" fillId="15" borderId="2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10" fillId="21" borderId="1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center" vertical="center"/>
    </xf>
    <xf numFmtId="0" fontId="29" fillId="29" borderId="0" xfId="0" applyFont="1" applyFill="1" applyAlignment="1">
      <alignment horizontal="center" vertical="center"/>
    </xf>
    <xf numFmtId="0" fontId="36" fillId="33" borderId="0" xfId="0" applyFont="1" applyFill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30" borderId="0" xfId="0" applyFont="1" applyFill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4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/>
    </xf>
    <xf numFmtId="0" fontId="8" fillId="19" borderId="0" xfId="0" applyFont="1" applyFill="1" applyAlignment="1">
      <alignment horizontal="center" vertical="center"/>
    </xf>
    <xf numFmtId="0" fontId="36" fillId="30" borderId="0" xfId="0" applyFont="1" applyFill="1" applyAlignment="1">
      <alignment horizontal="left" vertical="center"/>
    </xf>
    <xf numFmtId="0" fontId="42" fillId="19" borderId="0" xfId="0" applyFont="1" applyFill="1" applyAlignment="1">
      <alignment horizontal="center" vertical="center"/>
    </xf>
    <xf numFmtId="0" fontId="33" fillId="29" borderId="0" xfId="0" applyFont="1" applyFill="1" applyAlignment="1">
      <alignment horizontal="center" vertical="center"/>
    </xf>
    <xf numFmtId="0" fontId="35" fillId="20" borderId="0" xfId="0" applyFont="1" applyFill="1" applyAlignment="1">
      <alignment horizontal="center" vertical="center"/>
    </xf>
    <xf numFmtId="1" fontId="43" fillId="29" borderId="0" xfId="0" applyNumberFormat="1" applyFont="1" applyFill="1" applyAlignment="1">
      <alignment horizontal="center" vertical="center"/>
    </xf>
    <xf numFmtId="1" fontId="44" fillId="20" borderId="0" xfId="0" applyNumberFormat="1" applyFont="1" applyFill="1" applyAlignment="1">
      <alignment horizontal="center" vertical="center"/>
    </xf>
    <xf numFmtId="2" fontId="40" fillId="30" borderId="0" xfId="0" applyNumberFormat="1" applyFont="1" applyFill="1" applyAlignment="1">
      <alignment horizontal="center" vertical="center"/>
    </xf>
    <xf numFmtId="165" fontId="40" fillId="33" borderId="0" xfId="0" applyNumberFormat="1" applyFont="1" applyFill="1" applyAlignment="1">
      <alignment horizontal="center" vertical="center"/>
    </xf>
    <xf numFmtId="165" fontId="40" fillId="34" borderId="0" xfId="0" applyNumberFormat="1" applyFont="1" applyFill="1" applyAlignment="1">
      <alignment horizontal="center" vertical="center"/>
    </xf>
    <xf numFmtId="0" fontId="41" fillId="13" borderId="0" xfId="0" applyFont="1" applyFill="1" applyAlignment="1">
      <alignment horizontal="center" vertical="center"/>
    </xf>
    <xf numFmtId="0" fontId="47" fillId="30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font>
        <b/>
        <color rgb="FF1E8449"/>
        <name val="Arial"/>
        <charset val="1"/>
      </font>
      <fill>
        <patternFill>
          <bgColor rgb="FFD5F5E3"/>
        </patternFill>
      </fill>
    </dxf>
    <dxf>
      <fill>
        <patternFill>
          <bgColor rgb="FFFDEBD0"/>
        </patternFill>
      </fill>
    </dxf>
    <dxf>
      <font>
        <b/>
        <color rgb="FFC0392B"/>
        <name val="Arial"/>
        <charset val="1"/>
      </font>
      <fill>
        <patternFill>
          <bgColor rgb="FFFADBD8"/>
        </patternFill>
      </fill>
    </dxf>
    <dxf>
      <font>
        <b/>
        <sz val="8"/>
        <color rgb="FF2E6EA6"/>
        <name val="Arial"/>
        <charset val="1"/>
      </font>
      <fill>
        <patternFill>
          <bgColor rgb="FFD6EAF8"/>
        </patternFill>
      </fill>
    </dxf>
    <dxf>
      <font>
        <b/>
        <sz val="8"/>
        <color rgb="FF1E8449"/>
        <name val="Arial"/>
        <charset val="1"/>
      </font>
      <fill>
        <patternFill>
          <bgColor rgb="FFD5F5E3"/>
        </patternFill>
      </fill>
    </dxf>
    <dxf>
      <font>
        <b/>
        <sz val="8"/>
        <color rgb="FFC0392B"/>
        <name val="Arial"/>
        <charset val="1"/>
      </font>
      <fill>
        <patternFill>
          <bgColor rgb="FFFADBD8"/>
        </patternFill>
      </fill>
    </dxf>
    <dxf>
      <font>
        <b/>
        <color rgb="FF2E6EA6"/>
        <name val="Arial"/>
        <charset val="1"/>
      </font>
      <fill>
        <patternFill>
          <bgColor rgb="FFD6EAF8"/>
        </patternFill>
      </fill>
    </dxf>
    <dxf>
      <font>
        <b/>
        <color rgb="FFCA6F1E"/>
        <name val="Arial"/>
        <charset val="1"/>
      </font>
      <fill>
        <patternFill>
          <bgColor rgb="FFFDEBD0"/>
        </patternFill>
      </fill>
    </dxf>
    <dxf>
      <font>
        <b/>
        <color rgb="FF2E6EA6"/>
        <name val="Arial"/>
        <charset val="1"/>
      </font>
      <fill>
        <patternFill>
          <bgColor rgb="FFD6EAF8"/>
        </patternFill>
      </fill>
    </dxf>
    <dxf>
      <font>
        <b/>
        <color rgb="FF1E8449"/>
        <name val="Arial"/>
        <charset val="1"/>
      </font>
      <fill>
        <patternFill>
          <bgColor rgb="FFD5F5E3"/>
        </patternFill>
      </fill>
    </dxf>
    <dxf>
      <font>
        <b/>
        <color rgb="FFC0392B"/>
        <name val="Arial"/>
        <charset val="1"/>
      </font>
      <fill>
        <patternFill>
          <bgColor rgb="FFFADBD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DCE8F5"/>
      <rgbColor rgb="FFFFFDE7"/>
      <rgbColor rgb="FFFFF3CD"/>
      <rgbColor rgb="FFF5E8D5"/>
      <rgbColor rgb="FFC6EFCE"/>
      <rgbColor rgb="FF9C0006"/>
      <rgbColor rgb="FF00B050"/>
      <rgbColor rgb="FF000080"/>
      <rgbColor rgb="FF7D5A02"/>
      <rgbColor rgb="FFC55A11"/>
      <rgbColor rgb="FF0E7A6B"/>
      <rgbColor rgb="FFBBBBBB"/>
      <rgbColor rgb="FF7F8C8D"/>
      <rgbColor rgb="FFD6E8F5"/>
      <rgbColor rgb="FF6B3A8E"/>
      <rgbColor rgb="FFFDF6DC"/>
      <rgbColor rgb="FFE0F8F4"/>
      <rgbColor rgb="FFE8F4FD"/>
      <rgbColor rgb="FFCA6F1E"/>
      <rgbColor rgb="FF0070C0"/>
      <rgbColor rgb="FFCCCCCC"/>
      <rgbColor rgb="FF000080"/>
      <rgbColor rgb="FFFDEDEC"/>
      <rgbColor rgb="FFFDEBD0"/>
      <rgbColor rgb="FFD0F0EA"/>
      <rgbColor rgb="FFEBF3FB"/>
      <rgbColor rgb="FF8E5A1A"/>
      <rgbColor rgb="FF117A65"/>
      <rgbColor rgb="FF0000FF"/>
      <rgbColor rgb="FFD6EAF8"/>
      <rgbColor rgb="FFD5F5E3"/>
      <rgbColor rgb="FFC8F7C5"/>
      <rgbColor rgb="FFFFEB9C"/>
      <rgbColor rgb="FFD9D9D9"/>
      <rgbColor rgb="FFFADBD8"/>
      <rgbColor rgb="FFEDE0F5"/>
      <rgbColor rgb="FFFFC7CE"/>
      <rgbColor rgb="FF2E75B6"/>
      <rgbColor rgb="FF2E6EA6"/>
      <rgbColor rgb="FF70AD47"/>
      <rgbColor rgb="FFFCE4D6"/>
      <rgbColor rgb="FFB8860B"/>
      <rgbColor rgb="FFFF6600"/>
      <rgbColor rgb="FF555555"/>
      <rgbColor rgb="FFB3B3B3"/>
      <rgbColor rgb="FF1A3C5E"/>
      <rgbColor rgb="FF1E8449"/>
      <rgbColor rgb="FFF2F3F4"/>
      <rgbColor rgb="FF375623"/>
      <rgbColor rgb="FF833C00"/>
      <rgbColor rgb="FFC0392B"/>
      <rgbColor rgb="FF1F4E7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Competency Proficiency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'👤 Employee Assessment'!$H$80</c:f>
              <c:strCache>
                <c:ptCount val="1"/>
                <c:pt idx="0">
                  <c:v>Avg LM Rating</c:v>
                </c:pt>
              </c:strCache>
            </c:strRef>
          </c:tx>
          <c:spPr>
            <a:ln w="2484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'👤 Employee Assessment'!$B$81:$B$88</c:f>
              <c:strCache>
                <c:ptCount val="8"/>
                <c:pt idx="0">
                  <c:v>Root Cause Analysis &amp; Ris</c:v>
                </c:pt>
                <c:pt idx="1">
                  <c:v>Stakeholder &amp; Contract Ma</c:v>
                </c:pt>
                <c:pt idx="2">
                  <c:v>Project Planning &amp; Execut</c:v>
                </c:pt>
                <c:pt idx="3">
                  <c:v>Proposal Development &amp; In</c:v>
                </c:pt>
                <c:pt idx="4">
                  <c:v>Resource Management &amp; Bud</c:v>
                </c:pt>
                <c:pt idx="5">
                  <c:v>Digital PM &amp; Technology I</c:v>
                </c:pt>
                <c:pt idx="6">
                  <c:v>Operations &amp; Sustainabili</c:v>
                </c:pt>
                <c:pt idx="7">
                  <c:v>Professional Certificatio</c:v>
                </c:pt>
              </c:strCache>
            </c:strRef>
          </c:cat>
          <c:val>
            <c:numRef>
              <c:f>'👤 Employee Assessment'!$H$81:$H$88</c:f>
              <c:numCache>
                <c:formatCode>0.00</c:formatCode>
                <c:ptCount val="8"/>
                <c:pt idx="0">
                  <c:v>3.2</c:v>
                </c:pt>
                <c:pt idx="1">
                  <c:v>3.1666666666666665</c:v>
                </c:pt>
                <c:pt idx="2">
                  <c:v>2.8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3.3333333333333335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C-4025-95AA-0BB42D680982}"/>
            </c:ext>
          </c:extLst>
        </c:ser>
        <c:ser>
          <c:idx val="1"/>
          <c:order val="1"/>
          <c:tx>
            <c:strRef>
              <c:f>'👤 Employee Assessment'!$I$80</c:f>
              <c:strCache>
                <c:ptCount val="1"/>
                <c:pt idx="0">
                  <c:v>Avg Self Rating</c:v>
                </c:pt>
              </c:strCache>
            </c:strRef>
          </c:tx>
          <c:spPr>
            <a:ln w="201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'👤 Employee Assessment'!$B$81:$B$88</c:f>
              <c:strCache>
                <c:ptCount val="8"/>
                <c:pt idx="0">
                  <c:v>Root Cause Analysis &amp; Ris</c:v>
                </c:pt>
                <c:pt idx="1">
                  <c:v>Stakeholder &amp; Contract Ma</c:v>
                </c:pt>
                <c:pt idx="2">
                  <c:v>Project Planning &amp; Execut</c:v>
                </c:pt>
                <c:pt idx="3">
                  <c:v>Proposal Development &amp; In</c:v>
                </c:pt>
                <c:pt idx="4">
                  <c:v>Resource Management &amp; Bud</c:v>
                </c:pt>
                <c:pt idx="5">
                  <c:v>Digital PM &amp; Technology I</c:v>
                </c:pt>
                <c:pt idx="6">
                  <c:v>Operations &amp; Sustainabili</c:v>
                </c:pt>
                <c:pt idx="7">
                  <c:v>Professional Certificatio</c:v>
                </c:pt>
              </c:strCache>
            </c:strRef>
          </c:cat>
          <c:val>
            <c:numRef>
              <c:f>'👤 Employee Assessment'!$I$81:$I$88</c:f>
              <c:numCache>
                <c:formatCode>0.00</c:formatCode>
                <c:ptCount val="8"/>
                <c:pt idx="0">
                  <c:v>3.8</c:v>
                </c:pt>
                <c:pt idx="1">
                  <c:v>3.5</c:v>
                </c:pt>
                <c:pt idx="2">
                  <c:v>3.6</c:v>
                </c:pt>
                <c:pt idx="3">
                  <c:v>3</c:v>
                </c:pt>
                <c:pt idx="4">
                  <c:v>4</c:v>
                </c:pt>
                <c:pt idx="5">
                  <c:v>3.1666666666666665</c:v>
                </c:pt>
                <c:pt idx="6">
                  <c:v>3.5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0C-4025-95AA-0BB42D680982}"/>
            </c:ext>
          </c:extLst>
        </c:ser>
        <c:ser>
          <c:idx val="2"/>
          <c:order val="2"/>
          <c:tx>
            <c:strRef>
              <c:f>'👤 Employee Assessment'!$J$80</c:f>
              <c:strCache>
                <c:ptCount val="1"/>
                <c:pt idx="0">
                  <c:v>Required Level</c:v>
                </c:pt>
              </c:strCache>
            </c:strRef>
          </c:tx>
          <c:spPr>
            <a:ln w="201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K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'👤 Employee Assessment'!$B$81:$B$88</c:f>
              <c:strCache>
                <c:ptCount val="8"/>
                <c:pt idx="0">
                  <c:v>Root Cause Analysis &amp; Ris</c:v>
                </c:pt>
                <c:pt idx="1">
                  <c:v>Stakeholder &amp; Contract Ma</c:v>
                </c:pt>
                <c:pt idx="2">
                  <c:v>Project Planning &amp; Execut</c:v>
                </c:pt>
                <c:pt idx="3">
                  <c:v>Proposal Development &amp; In</c:v>
                </c:pt>
                <c:pt idx="4">
                  <c:v>Resource Management &amp; Bud</c:v>
                </c:pt>
                <c:pt idx="5">
                  <c:v>Digital PM &amp; Technology I</c:v>
                </c:pt>
                <c:pt idx="6">
                  <c:v>Operations &amp; Sustainabili</c:v>
                </c:pt>
                <c:pt idx="7">
                  <c:v>Professional Certificatio</c:v>
                </c:pt>
              </c:strCache>
            </c:strRef>
          </c:cat>
          <c:val>
            <c:numRef>
              <c:f>'👤 Employee Assessment'!$J$81:$J$88</c:f>
              <c:numCache>
                <c:formatCode>0.00</c:formatCode>
                <c:ptCount val="8"/>
                <c:pt idx="0">
                  <c:v>5</c:v>
                </c:pt>
                <c:pt idx="1">
                  <c:v>4.833333333333333</c:v>
                </c:pt>
                <c:pt idx="2">
                  <c:v>4.8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0C-4025-95AA-0BB42D680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93801"/>
        <c:axId val="58295374"/>
      </c:radarChart>
      <c:catAx>
        <c:axId val="240938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58295374"/>
        <c:crosses val="autoZero"/>
        <c:auto val="1"/>
        <c:lblAlgn val="ctr"/>
        <c:lblOffset val="100"/>
        <c:noMultiLvlLbl val="0"/>
      </c:catAx>
      <c:valAx>
        <c:axId val="58295374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none"/>
        <c:minorTickMark val="none"/>
        <c:tickLblPos val="nextTo"/>
        <c:crossAx val="2409380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P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Division-wise: Required vs Current Proficiency &amp; Gap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PM Family Summary'!$C$36</c:f>
              <c:strCache>
                <c:ptCount val="1"/>
                <c:pt idx="0">
                  <c:v>Required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PM Family Summary'!$B$37:$B$42</c:f>
              <c:strCache>
                <c:ptCount val="6"/>
                <c:pt idx="0">
                  <c:v>ISD</c:v>
                </c:pt>
                <c:pt idx="1">
                  <c:v>IP</c:v>
                </c:pt>
                <c:pt idx="2">
                  <c:v>EPC</c:v>
                </c:pt>
                <c:pt idx="3">
                  <c:v>Corporate</c:v>
                </c:pt>
                <c:pt idx="4">
                  <c:v>Cluster</c:v>
                </c:pt>
                <c:pt idx="5">
                  <c:v>Construction</c:v>
                </c:pt>
              </c:strCache>
            </c:strRef>
          </c:cat>
          <c:val>
            <c:numRef>
              <c:f>'📊 PM Family Summary'!$C$37:$C$42</c:f>
              <c:numCache>
                <c:formatCode>0.0</c:formatCode>
                <c:ptCount val="6"/>
                <c:pt idx="0">
                  <c:v>3.8</c:v>
                </c:pt>
                <c:pt idx="1">
                  <c:v>4.3499999999999996</c:v>
                </c:pt>
                <c:pt idx="2">
                  <c:v>3.4</c:v>
                </c:pt>
                <c:pt idx="3">
                  <c:v>4.3499999999999996</c:v>
                </c:pt>
                <c:pt idx="4">
                  <c:v>3</c:v>
                </c:pt>
                <c:pt idx="5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2-4898-8792-430571D7D595}"/>
            </c:ext>
          </c:extLst>
        </c:ser>
        <c:ser>
          <c:idx val="1"/>
          <c:order val="1"/>
          <c:tx>
            <c:strRef>
              <c:f>'📊 PM Family Summary'!$D$36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PM Family Summary'!$B$37:$B$42</c:f>
              <c:strCache>
                <c:ptCount val="6"/>
                <c:pt idx="0">
                  <c:v>ISD</c:v>
                </c:pt>
                <c:pt idx="1">
                  <c:v>IP</c:v>
                </c:pt>
                <c:pt idx="2">
                  <c:v>EPC</c:v>
                </c:pt>
                <c:pt idx="3">
                  <c:v>Corporate</c:v>
                </c:pt>
                <c:pt idx="4">
                  <c:v>Cluster</c:v>
                </c:pt>
                <c:pt idx="5">
                  <c:v>Construction</c:v>
                </c:pt>
              </c:strCache>
            </c:strRef>
          </c:cat>
          <c:val>
            <c:numRef>
              <c:f>'📊 PM Family Summary'!$D$37:$D$42</c:f>
              <c:numCache>
                <c:formatCode>0.0</c:formatCode>
                <c:ptCount val="6"/>
                <c:pt idx="0">
                  <c:v>2.2999999999999998</c:v>
                </c:pt>
                <c:pt idx="1">
                  <c:v>4.4000000000000004</c:v>
                </c:pt>
                <c:pt idx="2">
                  <c:v>1.7</c:v>
                </c:pt>
                <c:pt idx="3">
                  <c:v>4</c:v>
                </c:pt>
                <c:pt idx="4">
                  <c:v>1.6</c:v>
                </c:pt>
                <c:pt idx="5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2-4898-8792-430571D7D595}"/>
            </c:ext>
          </c:extLst>
        </c:ser>
        <c:ser>
          <c:idx val="2"/>
          <c:order val="2"/>
          <c:tx>
            <c:strRef>
              <c:f>'📊 PM Family Summary'!$E$36</c:f>
              <c:strCache>
                <c:ptCount val="1"/>
                <c:pt idx="0">
                  <c:v>Gap</c:v>
                </c:pt>
              </c:strCache>
            </c:strRef>
          </c:tx>
          <c:spPr>
            <a:solidFill>
              <a:srgbClr val="FF6600"/>
            </a:solidFill>
            <a:ln w="0">
              <a:solidFill>
                <a:srgbClr val="FF66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PM Family Summary'!$B$37:$B$42</c:f>
              <c:strCache>
                <c:ptCount val="6"/>
                <c:pt idx="0">
                  <c:v>ISD</c:v>
                </c:pt>
                <c:pt idx="1">
                  <c:v>IP</c:v>
                </c:pt>
                <c:pt idx="2">
                  <c:v>EPC</c:v>
                </c:pt>
                <c:pt idx="3">
                  <c:v>Corporate</c:v>
                </c:pt>
                <c:pt idx="4">
                  <c:v>Cluster</c:v>
                </c:pt>
                <c:pt idx="5">
                  <c:v>Construction</c:v>
                </c:pt>
              </c:strCache>
            </c:strRef>
          </c:cat>
          <c:val>
            <c:numRef>
              <c:f>'📊 PM Family Summary'!$E$37:$E$42</c:f>
              <c:numCache>
                <c:formatCode>0.0</c:formatCode>
                <c:ptCount val="6"/>
                <c:pt idx="0">
                  <c:v>1.5</c:v>
                </c:pt>
                <c:pt idx="1">
                  <c:v>-5.0000000000000711E-2</c:v>
                </c:pt>
                <c:pt idx="2">
                  <c:v>1.7</c:v>
                </c:pt>
                <c:pt idx="3">
                  <c:v>0.34999999999999964</c:v>
                </c:pt>
                <c:pt idx="4">
                  <c:v>1.4</c:v>
                </c:pt>
                <c:pt idx="5">
                  <c:v>0.80000000000000027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82-4898-8792-430571D7D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873600"/>
        <c:axId val="83370604"/>
      </c:barChart>
      <c:catAx>
        <c:axId val="348736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Division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83370604"/>
        <c:crosses val="autoZero"/>
        <c:auto val="1"/>
        <c:lblAlgn val="ctr"/>
        <c:lblOffset val="100"/>
        <c:noMultiLvlLbl val="0"/>
      </c:catAx>
      <c:valAx>
        <c:axId val="83370604"/>
        <c:scaling>
          <c:orientation val="minMax"/>
          <c:max val="5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Proficiency Level (1–5)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348736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P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Designation-wise: Required vs Current Proficiency &amp; Gap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PM Family Summary'!$C$44</c:f>
              <c:strCache>
                <c:ptCount val="1"/>
                <c:pt idx="0">
                  <c:v>Required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PM Family Summary'!$B$45:$B$48</c:f>
              <c:strCache>
                <c:ptCount val="4"/>
                <c:pt idx="0">
                  <c:v>In-charge/DM</c:v>
                </c:pt>
                <c:pt idx="1">
                  <c:v>Manager</c:v>
                </c:pt>
                <c:pt idx="2">
                  <c:v>Head</c:v>
                </c:pt>
                <c:pt idx="3">
                  <c:v>Chief</c:v>
                </c:pt>
              </c:strCache>
            </c:strRef>
          </c:cat>
          <c:val>
            <c:numRef>
              <c:f>'📊 PM Family Summary'!$C$45:$C$48</c:f>
              <c:numCache>
                <c:formatCode>0.0</c:formatCode>
                <c:ptCount val="4"/>
                <c:pt idx="0">
                  <c:v>3</c:v>
                </c:pt>
                <c:pt idx="1">
                  <c:v>3.7999999999999994</c:v>
                </c:pt>
                <c:pt idx="2">
                  <c:v>4.2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2-4BC3-9E6A-50756BEE2A42}"/>
            </c:ext>
          </c:extLst>
        </c:ser>
        <c:ser>
          <c:idx val="1"/>
          <c:order val="1"/>
          <c:tx>
            <c:strRef>
              <c:f>'📊 PM Family Summary'!$D$44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PM Family Summary'!$B$45:$B$48</c:f>
              <c:strCache>
                <c:ptCount val="4"/>
                <c:pt idx="0">
                  <c:v>In-charge/DM</c:v>
                </c:pt>
                <c:pt idx="1">
                  <c:v>Manager</c:v>
                </c:pt>
                <c:pt idx="2">
                  <c:v>Head</c:v>
                </c:pt>
                <c:pt idx="3">
                  <c:v>Chief</c:v>
                </c:pt>
              </c:strCache>
            </c:strRef>
          </c:cat>
          <c:val>
            <c:numRef>
              <c:f>'📊 PM Family Summary'!$D$45:$D$48</c:f>
              <c:numCache>
                <c:formatCode>0.0</c:formatCode>
                <c:ptCount val="4"/>
                <c:pt idx="0">
                  <c:v>1.3</c:v>
                </c:pt>
                <c:pt idx="1">
                  <c:v>2.3333333333333335</c:v>
                </c:pt>
                <c:pt idx="2">
                  <c:v>3.6999999999999997</c:v>
                </c:pt>
                <c:pt idx="3">
                  <c:v>4.55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B2-4BC3-9E6A-50756BEE2A42}"/>
            </c:ext>
          </c:extLst>
        </c:ser>
        <c:ser>
          <c:idx val="2"/>
          <c:order val="2"/>
          <c:tx>
            <c:strRef>
              <c:f>'📊 PM Family Summary'!$E$44</c:f>
              <c:strCache>
                <c:ptCount val="1"/>
                <c:pt idx="0">
                  <c:v>Gap</c:v>
                </c:pt>
              </c:strCache>
            </c:strRef>
          </c:tx>
          <c:spPr>
            <a:solidFill>
              <a:srgbClr val="FF6600"/>
            </a:solidFill>
            <a:ln w="0">
              <a:solidFill>
                <a:srgbClr val="FF66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PM Family Summary'!$B$45:$B$48</c:f>
              <c:strCache>
                <c:ptCount val="4"/>
                <c:pt idx="0">
                  <c:v>In-charge/DM</c:v>
                </c:pt>
                <c:pt idx="1">
                  <c:v>Manager</c:v>
                </c:pt>
                <c:pt idx="2">
                  <c:v>Head</c:v>
                </c:pt>
                <c:pt idx="3">
                  <c:v>Chief</c:v>
                </c:pt>
              </c:strCache>
            </c:strRef>
          </c:cat>
          <c:val>
            <c:numRef>
              <c:f>'📊 PM Family Summary'!$E$45:$E$48</c:f>
              <c:numCache>
                <c:formatCode>0.0</c:formatCode>
                <c:ptCount val="4"/>
                <c:pt idx="0">
                  <c:v>1.7</c:v>
                </c:pt>
                <c:pt idx="1">
                  <c:v>1.4666666666666659</c:v>
                </c:pt>
                <c:pt idx="2">
                  <c:v>0.50000000000000044</c:v>
                </c:pt>
                <c:pt idx="3">
                  <c:v>-4.9999999999999822E-2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B2-4BC3-9E6A-50756BEE2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12534"/>
        <c:axId val="97719922"/>
      </c:barChart>
      <c:catAx>
        <c:axId val="242125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97719922"/>
        <c:crosses val="autoZero"/>
        <c:auto val="1"/>
        <c:lblAlgn val="ctr"/>
        <c:lblOffset val="100"/>
        <c:noMultiLvlLbl val="0"/>
      </c:catAx>
      <c:valAx>
        <c:axId val="97719922"/>
        <c:scaling>
          <c:orientation val="minMax"/>
          <c:max val="5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Proficiency Level (1–5)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242125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P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Division: Required vs Current Proficiency &amp; Gap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Dashboard'!$B$29</c:f>
              <c:strCache>
                <c:ptCount val="1"/>
                <c:pt idx="0">
                  <c:v>Required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Dashboard'!$A$30:$A$35</c:f>
              <c:strCache>
                <c:ptCount val="6"/>
                <c:pt idx="0">
                  <c:v>ISD</c:v>
                </c:pt>
                <c:pt idx="1">
                  <c:v>IP</c:v>
                </c:pt>
                <c:pt idx="2">
                  <c:v>EPC</c:v>
                </c:pt>
                <c:pt idx="3">
                  <c:v>Corporate</c:v>
                </c:pt>
                <c:pt idx="4">
                  <c:v>Cluster</c:v>
                </c:pt>
                <c:pt idx="5">
                  <c:v>Construction</c:v>
                </c:pt>
              </c:strCache>
            </c:strRef>
          </c:cat>
          <c:val>
            <c:numRef>
              <c:f>'📈 Dashboard'!$B$30:$B$35</c:f>
              <c:numCache>
                <c:formatCode>0.0</c:formatCode>
                <c:ptCount val="6"/>
                <c:pt idx="0">
                  <c:v>3.8</c:v>
                </c:pt>
                <c:pt idx="1">
                  <c:v>4.3499999999999996</c:v>
                </c:pt>
                <c:pt idx="2">
                  <c:v>3.4</c:v>
                </c:pt>
                <c:pt idx="3">
                  <c:v>4.3499999999999996</c:v>
                </c:pt>
                <c:pt idx="4">
                  <c:v>3</c:v>
                </c:pt>
                <c:pt idx="5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A-489C-96B7-ECE15AFD1BAE}"/>
            </c:ext>
          </c:extLst>
        </c:ser>
        <c:ser>
          <c:idx val="1"/>
          <c:order val="1"/>
          <c:tx>
            <c:strRef>
              <c:f>'📈 Dashboard'!$C$29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Dashboard'!$A$30:$A$35</c:f>
              <c:strCache>
                <c:ptCount val="6"/>
                <c:pt idx="0">
                  <c:v>ISD</c:v>
                </c:pt>
                <c:pt idx="1">
                  <c:v>IP</c:v>
                </c:pt>
                <c:pt idx="2">
                  <c:v>EPC</c:v>
                </c:pt>
                <c:pt idx="3">
                  <c:v>Corporate</c:v>
                </c:pt>
                <c:pt idx="4">
                  <c:v>Cluster</c:v>
                </c:pt>
                <c:pt idx="5">
                  <c:v>Construction</c:v>
                </c:pt>
              </c:strCache>
            </c:strRef>
          </c:cat>
          <c:val>
            <c:numRef>
              <c:f>'📈 Dashboard'!$C$30:$C$35</c:f>
              <c:numCache>
                <c:formatCode>0.0</c:formatCode>
                <c:ptCount val="6"/>
                <c:pt idx="0">
                  <c:v>2.2999999999999998</c:v>
                </c:pt>
                <c:pt idx="1">
                  <c:v>4.4000000000000004</c:v>
                </c:pt>
                <c:pt idx="2">
                  <c:v>1.7</c:v>
                </c:pt>
                <c:pt idx="3">
                  <c:v>4</c:v>
                </c:pt>
                <c:pt idx="4">
                  <c:v>1.6</c:v>
                </c:pt>
                <c:pt idx="5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A-489C-96B7-ECE15AFD1BAE}"/>
            </c:ext>
          </c:extLst>
        </c:ser>
        <c:ser>
          <c:idx val="2"/>
          <c:order val="2"/>
          <c:tx>
            <c:strRef>
              <c:f>'📈 Dashboard'!$D$29</c:f>
              <c:strCache>
                <c:ptCount val="1"/>
                <c:pt idx="0">
                  <c:v>Gap</c:v>
                </c:pt>
              </c:strCache>
            </c:strRef>
          </c:tx>
          <c:spPr>
            <a:solidFill>
              <a:srgbClr val="FF6600"/>
            </a:solidFill>
            <a:ln w="0">
              <a:solidFill>
                <a:srgbClr val="FF66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Dashboard'!$A$30:$A$35</c:f>
              <c:strCache>
                <c:ptCount val="6"/>
                <c:pt idx="0">
                  <c:v>ISD</c:v>
                </c:pt>
                <c:pt idx="1">
                  <c:v>IP</c:v>
                </c:pt>
                <c:pt idx="2">
                  <c:v>EPC</c:v>
                </c:pt>
                <c:pt idx="3">
                  <c:v>Corporate</c:v>
                </c:pt>
                <c:pt idx="4">
                  <c:v>Cluster</c:v>
                </c:pt>
                <c:pt idx="5">
                  <c:v>Construction</c:v>
                </c:pt>
              </c:strCache>
            </c:strRef>
          </c:cat>
          <c:val>
            <c:numRef>
              <c:f>'📈 Dashboard'!$D$30:$D$35</c:f>
              <c:numCache>
                <c:formatCode>0.0</c:formatCode>
                <c:ptCount val="6"/>
                <c:pt idx="0">
                  <c:v>1.5</c:v>
                </c:pt>
                <c:pt idx="1">
                  <c:v>-5.0000000000000711E-2</c:v>
                </c:pt>
                <c:pt idx="2">
                  <c:v>1.7</c:v>
                </c:pt>
                <c:pt idx="3">
                  <c:v>0.34999999999999964</c:v>
                </c:pt>
                <c:pt idx="4">
                  <c:v>1.4</c:v>
                </c:pt>
                <c:pt idx="5">
                  <c:v>0.80000000000000027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1A-489C-96B7-ECE15AFD1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999356"/>
        <c:axId val="60262677"/>
      </c:barChart>
      <c:catAx>
        <c:axId val="749993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60262677"/>
        <c:crosses val="autoZero"/>
        <c:auto val="1"/>
        <c:lblAlgn val="ctr"/>
        <c:lblOffset val="100"/>
        <c:noMultiLvlLbl val="0"/>
      </c:catAx>
      <c:valAx>
        <c:axId val="60262677"/>
        <c:scaling>
          <c:orientation val="minMax"/>
          <c:max val="5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Proficiency (1–5)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749993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P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Designation: Required vs Current Proficiency &amp; Gap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Dashboard'!$B$37</c:f>
              <c:strCache>
                <c:ptCount val="1"/>
                <c:pt idx="0">
                  <c:v>Required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Dashboard'!$A$38:$A$41</c:f>
              <c:strCache>
                <c:ptCount val="4"/>
                <c:pt idx="0">
                  <c:v>In-charge/DM</c:v>
                </c:pt>
                <c:pt idx="1">
                  <c:v>Manager</c:v>
                </c:pt>
                <c:pt idx="2">
                  <c:v>Head</c:v>
                </c:pt>
                <c:pt idx="3">
                  <c:v>Chief</c:v>
                </c:pt>
              </c:strCache>
            </c:strRef>
          </c:cat>
          <c:val>
            <c:numRef>
              <c:f>'📈 Dashboard'!$B$38:$B$41</c:f>
              <c:numCache>
                <c:formatCode>0.0</c:formatCode>
                <c:ptCount val="4"/>
                <c:pt idx="0">
                  <c:v>3</c:v>
                </c:pt>
                <c:pt idx="1">
                  <c:v>3.7999999999999994</c:v>
                </c:pt>
                <c:pt idx="2">
                  <c:v>4.2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C-46FE-9847-D9A72E15FCA4}"/>
            </c:ext>
          </c:extLst>
        </c:ser>
        <c:ser>
          <c:idx val="1"/>
          <c:order val="1"/>
          <c:tx>
            <c:strRef>
              <c:f>'📈 Dashboard'!$C$37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Dashboard'!$A$38:$A$41</c:f>
              <c:strCache>
                <c:ptCount val="4"/>
                <c:pt idx="0">
                  <c:v>In-charge/DM</c:v>
                </c:pt>
                <c:pt idx="1">
                  <c:v>Manager</c:v>
                </c:pt>
                <c:pt idx="2">
                  <c:v>Head</c:v>
                </c:pt>
                <c:pt idx="3">
                  <c:v>Chief</c:v>
                </c:pt>
              </c:strCache>
            </c:strRef>
          </c:cat>
          <c:val>
            <c:numRef>
              <c:f>'📈 Dashboard'!$C$38:$C$41</c:f>
              <c:numCache>
                <c:formatCode>0.0</c:formatCode>
                <c:ptCount val="4"/>
                <c:pt idx="0">
                  <c:v>1.3</c:v>
                </c:pt>
                <c:pt idx="1">
                  <c:v>2.3333333333333335</c:v>
                </c:pt>
                <c:pt idx="2">
                  <c:v>3.6999999999999997</c:v>
                </c:pt>
                <c:pt idx="3">
                  <c:v>4.55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9C-46FE-9847-D9A72E15FCA4}"/>
            </c:ext>
          </c:extLst>
        </c:ser>
        <c:ser>
          <c:idx val="2"/>
          <c:order val="2"/>
          <c:tx>
            <c:strRef>
              <c:f>'📈 Dashboard'!$D$37</c:f>
              <c:strCache>
                <c:ptCount val="1"/>
                <c:pt idx="0">
                  <c:v>Gap</c:v>
                </c:pt>
              </c:strCache>
            </c:strRef>
          </c:tx>
          <c:spPr>
            <a:solidFill>
              <a:srgbClr val="FF6600"/>
            </a:solidFill>
            <a:ln w="0">
              <a:solidFill>
                <a:srgbClr val="FF66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PK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Dashboard'!$A$38:$A$41</c:f>
              <c:strCache>
                <c:ptCount val="4"/>
                <c:pt idx="0">
                  <c:v>In-charge/DM</c:v>
                </c:pt>
                <c:pt idx="1">
                  <c:v>Manager</c:v>
                </c:pt>
                <c:pt idx="2">
                  <c:v>Head</c:v>
                </c:pt>
                <c:pt idx="3">
                  <c:v>Chief</c:v>
                </c:pt>
              </c:strCache>
            </c:strRef>
          </c:cat>
          <c:val>
            <c:numRef>
              <c:f>'📈 Dashboard'!$D$38:$D$41</c:f>
              <c:numCache>
                <c:formatCode>0.0</c:formatCode>
                <c:ptCount val="4"/>
                <c:pt idx="0">
                  <c:v>1.7</c:v>
                </c:pt>
                <c:pt idx="1">
                  <c:v>1.4666666666666659</c:v>
                </c:pt>
                <c:pt idx="2">
                  <c:v>0.50000000000000044</c:v>
                </c:pt>
                <c:pt idx="3">
                  <c:v>-4.9999999999999822E-2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9C-46FE-9847-D9A72E15F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773248"/>
        <c:axId val="55721345"/>
      </c:barChart>
      <c:catAx>
        <c:axId val="627732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55721345"/>
        <c:crosses val="autoZero"/>
        <c:auto val="1"/>
        <c:lblAlgn val="ctr"/>
        <c:lblOffset val="100"/>
        <c:noMultiLvlLbl val="0"/>
      </c:catAx>
      <c:valAx>
        <c:axId val="55721345"/>
        <c:scaling>
          <c:orientation val="minMax"/>
          <c:max val="5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Proficiency (1–5)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PK"/>
          </a:p>
        </c:txPr>
        <c:crossAx val="627732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PK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79</xdr:row>
      <xdr:rowOff>0</xdr:rowOff>
    </xdr:from>
    <xdr:to>
      <xdr:col>25</xdr:col>
      <xdr:colOff>395280</xdr:colOff>
      <xdr:row>106</xdr:row>
      <xdr:rowOff>83632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17</xdr:row>
      <xdr:rowOff>0</xdr:rowOff>
    </xdr:from>
    <xdr:to>
      <xdr:col>15</xdr:col>
      <xdr:colOff>502560</xdr:colOff>
      <xdr:row>34</xdr:row>
      <xdr:rowOff>115920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28</xdr:row>
      <xdr:rowOff>0</xdr:rowOff>
    </xdr:from>
    <xdr:to>
      <xdr:col>15</xdr:col>
      <xdr:colOff>502560</xdr:colOff>
      <xdr:row>46</xdr:row>
      <xdr:rowOff>78120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28</xdr:row>
      <xdr:rowOff>0</xdr:rowOff>
    </xdr:from>
    <xdr:to>
      <xdr:col>12</xdr:col>
      <xdr:colOff>64440</xdr:colOff>
      <xdr:row>47</xdr:row>
      <xdr:rowOff>118080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36</xdr:row>
      <xdr:rowOff>0</xdr:rowOff>
    </xdr:from>
    <xdr:to>
      <xdr:col>12</xdr:col>
      <xdr:colOff>64440</xdr:colOff>
      <xdr:row>55</xdr:row>
      <xdr:rowOff>165960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showGridLines="0" zoomScaleNormal="100" workbookViewId="0">
      <selection sqref="A1:E1"/>
    </sheetView>
  </sheetViews>
  <sheetFormatPr defaultColWidth="8.6328125" defaultRowHeight="14.5" x14ac:dyDescent="0.35"/>
  <cols>
    <col min="1" max="1" width="2" customWidth="1"/>
    <col min="2" max="2" width="26" customWidth="1"/>
    <col min="3" max="3" width="70" customWidth="1"/>
    <col min="4" max="5" width="18" customWidth="1"/>
  </cols>
  <sheetData>
    <row r="1" spans="1:5" ht="43.5" customHeight="1" x14ac:dyDescent="0.35">
      <c r="A1" s="149" t="s">
        <v>0</v>
      </c>
      <c r="B1" s="149"/>
      <c r="C1" s="149"/>
      <c r="D1" s="149"/>
      <c r="E1" s="149"/>
    </row>
    <row r="2" spans="1:5" ht="19.5" customHeight="1" x14ac:dyDescent="0.35">
      <c r="A2" s="150" t="s">
        <v>1</v>
      </c>
      <c r="B2" s="150"/>
      <c r="C2" s="150"/>
      <c r="D2" s="150"/>
      <c r="E2" s="150"/>
    </row>
    <row r="3" spans="1:5" ht="7.5" customHeight="1" x14ac:dyDescent="0.35"/>
    <row r="4" spans="1:5" ht="24" customHeight="1" x14ac:dyDescent="0.35">
      <c r="A4" s="151" t="s">
        <v>2</v>
      </c>
      <c r="B4" s="151"/>
      <c r="C4" s="151"/>
      <c r="D4" s="151"/>
      <c r="E4" s="151"/>
    </row>
    <row r="5" spans="1:5" ht="19.5" customHeight="1" x14ac:dyDescent="0.35">
      <c r="B5" s="152" t="s">
        <v>3</v>
      </c>
      <c r="C5" s="152"/>
      <c r="D5" s="152"/>
      <c r="E5" s="152"/>
    </row>
    <row r="6" spans="1:5" ht="30" customHeight="1" x14ac:dyDescent="0.35">
      <c r="B6" s="153" t="s">
        <v>4</v>
      </c>
      <c r="C6" s="153"/>
      <c r="D6" s="153"/>
      <c r="E6" s="153"/>
    </row>
    <row r="7" spans="1:5" ht="3.75" customHeight="1" x14ac:dyDescent="0.35"/>
    <row r="8" spans="1:5" ht="19.5" customHeight="1" x14ac:dyDescent="0.35">
      <c r="B8" s="154" t="s">
        <v>5</v>
      </c>
      <c r="C8" s="154"/>
      <c r="D8" s="154"/>
      <c r="E8" s="154"/>
    </row>
    <row r="9" spans="1:5" ht="30" customHeight="1" x14ac:dyDescent="0.35">
      <c r="B9" s="155" t="s">
        <v>6</v>
      </c>
      <c r="C9" s="155"/>
      <c r="D9" s="155"/>
      <c r="E9" s="155"/>
    </row>
    <row r="10" spans="1:5" ht="3.75" customHeight="1" x14ac:dyDescent="0.35"/>
    <row r="11" spans="1:5" ht="19.5" customHeight="1" x14ac:dyDescent="0.35">
      <c r="B11" s="156" t="s">
        <v>7</v>
      </c>
      <c r="C11" s="156"/>
      <c r="D11" s="156"/>
      <c r="E11" s="156"/>
    </row>
    <row r="12" spans="1:5" ht="30" customHeight="1" x14ac:dyDescent="0.35">
      <c r="B12" s="157" t="s">
        <v>8</v>
      </c>
      <c r="C12" s="157"/>
      <c r="D12" s="157"/>
      <c r="E12" s="157"/>
    </row>
    <row r="13" spans="1:5" ht="3.75" customHeight="1" x14ac:dyDescent="0.35"/>
    <row r="14" spans="1:5" ht="19.5" customHeight="1" x14ac:dyDescent="0.35">
      <c r="B14" s="158" t="s">
        <v>9</v>
      </c>
      <c r="C14" s="158"/>
      <c r="D14" s="158"/>
      <c r="E14" s="158"/>
    </row>
    <row r="15" spans="1:5" ht="30" customHeight="1" x14ac:dyDescent="0.35">
      <c r="B15" s="159" t="s">
        <v>10</v>
      </c>
      <c r="C15" s="159"/>
      <c r="D15" s="159"/>
      <c r="E15" s="159"/>
    </row>
    <row r="16" spans="1:5" ht="3.75" customHeight="1" x14ac:dyDescent="0.35"/>
    <row r="17" spans="1:5" ht="19.5" customHeight="1" x14ac:dyDescent="0.35">
      <c r="B17" s="160" t="s">
        <v>11</v>
      </c>
      <c r="C17" s="160"/>
      <c r="D17" s="160"/>
      <c r="E17" s="160"/>
    </row>
    <row r="18" spans="1:5" ht="30" customHeight="1" x14ac:dyDescent="0.35">
      <c r="B18" s="161" t="s">
        <v>12</v>
      </c>
      <c r="C18" s="161"/>
      <c r="D18" s="161"/>
      <c r="E18" s="161"/>
    </row>
    <row r="19" spans="1:5" ht="3.75" customHeight="1" x14ac:dyDescent="0.35"/>
    <row r="20" spans="1:5" ht="19.5" customHeight="1" x14ac:dyDescent="0.35">
      <c r="B20" s="162" t="s">
        <v>13</v>
      </c>
      <c r="C20" s="162"/>
      <c r="D20" s="162"/>
      <c r="E20" s="162"/>
    </row>
    <row r="21" spans="1:5" ht="30" customHeight="1" x14ac:dyDescent="0.35">
      <c r="B21" s="163" t="s">
        <v>14</v>
      </c>
      <c r="C21" s="163"/>
      <c r="D21" s="163"/>
      <c r="E21" s="163"/>
    </row>
    <row r="22" spans="1:5" ht="3.75" customHeight="1" x14ac:dyDescent="0.35"/>
    <row r="23" spans="1:5" ht="19.5" customHeight="1" x14ac:dyDescent="0.35">
      <c r="B23" s="164" t="s">
        <v>15</v>
      </c>
      <c r="C23" s="164"/>
      <c r="D23" s="164"/>
      <c r="E23" s="164"/>
    </row>
    <row r="24" spans="1:5" ht="30" customHeight="1" x14ac:dyDescent="0.35">
      <c r="B24" s="165" t="s">
        <v>16</v>
      </c>
      <c r="C24" s="165"/>
      <c r="D24" s="165"/>
      <c r="E24" s="165"/>
    </row>
    <row r="25" spans="1:5" ht="3.75" customHeight="1" x14ac:dyDescent="0.35"/>
    <row r="26" spans="1:5" ht="9.75" customHeight="1" x14ac:dyDescent="0.35"/>
    <row r="27" spans="1:5" ht="24" customHeight="1" x14ac:dyDescent="0.35">
      <c r="A27" s="166" t="s">
        <v>17</v>
      </c>
      <c r="B27" s="166"/>
      <c r="C27" s="166"/>
      <c r="D27" s="166"/>
      <c r="E27" s="166"/>
    </row>
    <row r="28" spans="1:5" ht="21.75" customHeight="1" x14ac:dyDescent="0.35">
      <c r="B28" s="3" t="s">
        <v>18</v>
      </c>
      <c r="C28" s="4" t="s">
        <v>19</v>
      </c>
      <c r="D28" s="4" t="s">
        <v>20</v>
      </c>
      <c r="E28" s="5" t="s">
        <v>21</v>
      </c>
    </row>
    <row r="29" spans="1:5" ht="21.75" customHeight="1" x14ac:dyDescent="0.35">
      <c r="B29" s="6">
        <v>1</v>
      </c>
      <c r="C29" s="7" t="s">
        <v>22</v>
      </c>
      <c r="D29" s="7" t="s">
        <v>23</v>
      </c>
      <c r="E29" s="8" t="s">
        <v>24</v>
      </c>
    </row>
    <row r="30" spans="1:5" ht="21.75" customHeight="1" x14ac:dyDescent="0.35">
      <c r="B30" s="9">
        <v>2</v>
      </c>
      <c r="C30" s="10" t="s">
        <v>25</v>
      </c>
      <c r="D30" s="10" t="s">
        <v>26</v>
      </c>
      <c r="E30" s="11" t="s">
        <v>24</v>
      </c>
    </row>
    <row r="31" spans="1:5" ht="21.75" customHeight="1" x14ac:dyDescent="0.35">
      <c r="B31" s="12">
        <v>3</v>
      </c>
      <c r="C31" s="13" t="s">
        <v>27</v>
      </c>
      <c r="D31" s="13" t="s">
        <v>28</v>
      </c>
      <c r="E31" s="14" t="s">
        <v>24</v>
      </c>
    </row>
    <row r="32" spans="1:5" ht="21.75" customHeight="1" x14ac:dyDescent="0.35">
      <c r="B32" s="15">
        <v>4</v>
      </c>
      <c r="C32" s="16" t="s">
        <v>29</v>
      </c>
      <c r="D32" s="16" t="s">
        <v>30</v>
      </c>
      <c r="E32" s="17" t="s">
        <v>24</v>
      </c>
    </row>
    <row r="33" spans="1:5" ht="21.75" customHeight="1" x14ac:dyDescent="0.35">
      <c r="B33" s="18">
        <v>5</v>
      </c>
      <c r="C33" s="19" t="s">
        <v>31</v>
      </c>
      <c r="D33" s="19" t="s">
        <v>32</v>
      </c>
      <c r="E33" s="20" t="s">
        <v>24</v>
      </c>
    </row>
    <row r="36" spans="1:5" ht="9.75" customHeight="1" x14ac:dyDescent="0.35"/>
    <row r="37" spans="1:5" ht="24" customHeight="1" x14ac:dyDescent="0.35">
      <c r="A37" s="167" t="s">
        <v>33</v>
      </c>
      <c r="B37" s="167"/>
      <c r="C37" s="167"/>
      <c r="D37" s="167"/>
      <c r="E37" s="167"/>
    </row>
    <row r="38" spans="1:5" ht="27.75" customHeight="1" x14ac:dyDescent="0.35">
      <c r="B38" s="3" t="s">
        <v>34</v>
      </c>
      <c r="C38" s="4" t="s">
        <v>35</v>
      </c>
      <c r="D38" s="3" t="s">
        <v>36</v>
      </c>
      <c r="E38" s="4" t="s">
        <v>37</v>
      </c>
    </row>
    <row r="39" spans="1:5" ht="27.75" customHeight="1" x14ac:dyDescent="0.35">
      <c r="B39" s="15" t="s">
        <v>38</v>
      </c>
      <c r="C39" s="16" t="s">
        <v>39</v>
      </c>
      <c r="D39" s="15" t="s">
        <v>40</v>
      </c>
      <c r="E39" s="16" t="s">
        <v>41</v>
      </c>
    </row>
    <row r="40" spans="1:5" ht="27.75" customHeight="1" x14ac:dyDescent="0.35">
      <c r="B40" s="9" t="s">
        <v>42</v>
      </c>
      <c r="C40" s="10" t="s">
        <v>43</v>
      </c>
      <c r="D40" s="2" t="s">
        <v>44</v>
      </c>
      <c r="E40" s="10" t="s">
        <v>45</v>
      </c>
    </row>
    <row r="41" spans="1:5" ht="27.75" customHeight="1" x14ac:dyDescent="0.35">
      <c r="B41" s="9" t="s">
        <v>46</v>
      </c>
      <c r="C41" s="10" t="s">
        <v>47</v>
      </c>
      <c r="D41" s="21" t="s">
        <v>48</v>
      </c>
      <c r="E41" s="10" t="s">
        <v>49</v>
      </c>
    </row>
    <row r="42" spans="1:5" ht="27.75" customHeight="1" x14ac:dyDescent="0.35">
      <c r="B42" s="6" t="s">
        <v>50</v>
      </c>
      <c r="C42" s="7" t="s">
        <v>51</v>
      </c>
      <c r="D42" s="22" t="s">
        <v>52</v>
      </c>
      <c r="E42" s="7" t="s">
        <v>53</v>
      </c>
    </row>
    <row r="43" spans="1:5" ht="36" customHeight="1" x14ac:dyDescent="0.35">
      <c r="A43" s="168" t="s">
        <v>54</v>
      </c>
      <c r="B43" s="168"/>
      <c r="C43" s="168"/>
      <c r="D43" s="168"/>
      <c r="E43" s="168"/>
    </row>
  </sheetData>
  <mergeCells count="20">
    <mergeCell ref="B23:E23"/>
    <mergeCell ref="B24:E24"/>
    <mergeCell ref="A27:E27"/>
    <mergeCell ref="A37:E37"/>
    <mergeCell ref="A43:E43"/>
    <mergeCell ref="B15:E15"/>
    <mergeCell ref="B17:E17"/>
    <mergeCell ref="B18:E18"/>
    <mergeCell ref="B20:E20"/>
    <mergeCell ref="B21:E21"/>
    <mergeCell ref="B8:E8"/>
    <mergeCell ref="B9:E9"/>
    <mergeCell ref="B11:E11"/>
    <mergeCell ref="B12:E12"/>
    <mergeCell ref="B14:E14"/>
    <mergeCell ref="A1:E1"/>
    <mergeCell ref="A2:E2"/>
    <mergeCell ref="A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8"/>
  <sheetViews>
    <sheetView showGridLines="0" tabSelected="1" topLeftCell="C1" zoomScale="91" zoomScaleNormal="69" workbookViewId="0">
      <pane ySplit="8" topLeftCell="A9" activePane="bottomLeft" state="frozen"/>
      <selection pane="bottomLeft" activeCell="J6" sqref="J6:K6"/>
    </sheetView>
  </sheetViews>
  <sheetFormatPr defaultColWidth="8.6328125" defaultRowHeight="14.5" x14ac:dyDescent="0.35"/>
  <cols>
    <col min="1" max="1" width="2" customWidth="1"/>
    <col min="2" max="2" width="5" customWidth="1"/>
    <col min="3" max="3" width="30" customWidth="1"/>
    <col min="4" max="7" width="11.7265625" customWidth="1"/>
    <col min="8" max="8" width="12" customWidth="1"/>
    <col min="9" max="10" width="13" customWidth="1"/>
    <col min="11" max="11" width="9.36328125" customWidth="1"/>
    <col min="12" max="12" width="18.7265625" customWidth="1"/>
    <col min="13" max="13" width="16.453125" customWidth="1"/>
    <col min="14" max="14" width="13" customWidth="1"/>
  </cols>
  <sheetData>
    <row r="1" spans="1:14" ht="37.5" customHeight="1" x14ac:dyDescent="0.35">
      <c r="A1" s="128" t="s">
        <v>55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</row>
    <row r="2" spans="1:14" ht="18" customHeight="1" x14ac:dyDescent="0.35">
      <c r="A2" s="129" t="s">
        <v>56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</row>
    <row r="3" spans="1:14" ht="6" customHeight="1" x14ac:dyDescent="0.35"/>
    <row r="4" spans="1:14" ht="21.75" customHeight="1" x14ac:dyDescent="0.35">
      <c r="B4" s="23" t="s">
        <v>57</v>
      </c>
      <c r="D4" s="130"/>
      <c r="E4" s="130"/>
      <c r="F4" s="130"/>
      <c r="G4" s="130"/>
      <c r="H4" s="130"/>
      <c r="I4" s="23" t="s">
        <v>58</v>
      </c>
      <c r="J4" s="130"/>
      <c r="K4" s="130"/>
      <c r="L4" s="23" t="s">
        <v>59</v>
      </c>
      <c r="M4" s="130"/>
      <c r="N4" s="130"/>
    </row>
    <row r="5" spans="1:14" ht="21.75" customHeight="1" x14ac:dyDescent="0.35">
      <c r="B5" s="23" t="s">
        <v>60</v>
      </c>
      <c r="D5" s="130" t="s">
        <v>229</v>
      </c>
      <c r="E5" s="130"/>
      <c r="F5" s="23" t="s">
        <v>62</v>
      </c>
      <c r="G5" s="130"/>
      <c r="H5" s="130"/>
      <c r="I5" s="23" t="s">
        <v>63</v>
      </c>
      <c r="J5" s="130"/>
      <c r="K5" s="130"/>
      <c r="L5" s="23" t="s">
        <v>64</v>
      </c>
      <c r="M5" s="130"/>
      <c r="N5" s="130"/>
    </row>
    <row r="6" spans="1:14" ht="21.75" customHeight="1" x14ac:dyDescent="0.35">
      <c r="B6" s="23" t="s">
        <v>65</v>
      </c>
      <c r="D6" s="130"/>
      <c r="E6" s="130"/>
      <c r="F6" s="23" t="s">
        <v>66</v>
      </c>
      <c r="G6" s="130"/>
      <c r="H6" s="130"/>
      <c r="I6" s="23" t="s">
        <v>67</v>
      </c>
      <c r="J6" s="130"/>
      <c r="K6" s="130"/>
    </row>
    <row r="7" spans="1:14" ht="45.75" customHeight="1" x14ac:dyDescent="0.35">
      <c r="B7" s="24" t="s">
        <v>68</v>
      </c>
      <c r="C7" s="24" t="s">
        <v>69</v>
      </c>
      <c r="D7" s="25" t="s">
        <v>70</v>
      </c>
      <c r="E7" s="25" t="s">
        <v>71</v>
      </c>
      <c r="F7" s="25" t="s">
        <v>72</v>
      </c>
      <c r="G7" s="25" t="s">
        <v>73</v>
      </c>
      <c r="H7" s="24" t="s">
        <v>74</v>
      </c>
      <c r="I7" s="26" t="s">
        <v>75</v>
      </c>
      <c r="J7" s="27" t="s">
        <v>76</v>
      </c>
      <c r="K7" s="24" t="s">
        <v>77</v>
      </c>
      <c r="L7" s="25" t="s">
        <v>78</v>
      </c>
      <c r="M7" s="24" t="s">
        <v>79</v>
      </c>
      <c r="N7" s="24" t="s">
        <v>80</v>
      </c>
    </row>
    <row r="8" spans="1:14" ht="12.75" customHeight="1" x14ac:dyDescent="0.35">
      <c r="I8" s="28" t="s">
        <v>81</v>
      </c>
      <c r="J8" s="29" t="s">
        <v>82</v>
      </c>
    </row>
    <row r="9" spans="1:14" ht="19.5" customHeight="1" x14ac:dyDescent="0.35">
      <c r="B9" s="131" t="s">
        <v>83</v>
      </c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</row>
    <row r="10" spans="1:14" ht="18" customHeight="1" x14ac:dyDescent="0.35">
      <c r="B10" s="30" t="s">
        <v>84</v>
      </c>
      <c r="C10" s="31" t="s">
        <v>85</v>
      </c>
      <c r="D10" s="32">
        <v>3</v>
      </c>
      <c r="E10" s="32">
        <v>2</v>
      </c>
      <c r="F10" s="32">
        <v>4</v>
      </c>
      <c r="G10" s="32">
        <v>5</v>
      </c>
      <c r="H10" s="33">
        <f>IF($D$5="","",IF($D$5="In-charge / DM",D10,IF($D$5="Manager",E10,IF($D$5="Head",F10,IF($D$5="Chief",G10,"")))))</f>
        <v>5</v>
      </c>
      <c r="I10" s="34">
        <v>3</v>
      </c>
      <c r="J10" s="35">
        <v>4</v>
      </c>
      <c r="K10" s="36">
        <f>IF(J10="","",IF(H10="","",H10-J10))</f>
        <v>1</v>
      </c>
      <c r="L10" s="37">
        <f>IF(I10="","",IF(J10="","",I10-J10))</f>
        <v>-1</v>
      </c>
      <c r="M10" s="38" t="str">
        <f>IF(J10="","—",IF(J10&lt;1.5,"Amateur",IF(J10&lt;2.5,"Collaborator",IF(J10&lt;3.5,"Enabler",IF(J10&lt;4.5,"Driving Force","Visionary")))))</f>
        <v>Driving Force</v>
      </c>
      <c r="N10" s="39" t="str">
        <f>IF(J10="","—",IF(K10&gt;0,"▼ Below Required",IF(K10=0,"✔ At Target","▲ Exceeds Target")))</f>
        <v>▼ Below Required</v>
      </c>
    </row>
    <row r="11" spans="1:14" ht="18" customHeight="1" x14ac:dyDescent="0.35">
      <c r="B11" s="30" t="s">
        <v>86</v>
      </c>
      <c r="C11" s="31" t="s">
        <v>87</v>
      </c>
      <c r="D11" s="32">
        <v>3</v>
      </c>
      <c r="E11" s="32">
        <v>2</v>
      </c>
      <c r="F11" s="32">
        <v>4</v>
      </c>
      <c r="G11" s="32">
        <v>5</v>
      </c>
      <c r="H11" s="33">
        <f>IF($D$5="","",IF($D$5="In-charge / DM",D11,IF($D$5="Manager",E11,IF($D$5="Head",F11,IF($D$5="Chief",G11,"")))))</f>
        <v>5</v>
      </c>
      <c r="I11" s="34">
        <v>4</v>
      </c>
      <c r="J11" s="35">
        <v>3</v>
      </c>
      <c r="K11" s="36">
        <f>IF(J11="","",IF(H11="","",H11-J11))</f>
        <v>2</v>
      </c>
      <c r="L11" s="37">
        <f>IF(I11="","",IF(J11="","",I11-J11))</f>
        <v>1</v>
      </c>
      <c r="M11" s="38" t="str">
        <f>IF(J11="","—",IF(J11&lt;1.5,"Amateur",IF(J11&lt;2.5,"Collaborator",IF(J11&lt;3.5,"Enabler",IF(J11&lt;4.5,"Driving Force","Visionary")))))</f>
        <v>Enabler</v>
      </c>
      <c r="N11" s="39" t="str">
        <f>IF(J11="","—",IF(K11&gt;0,"▼ Below Required",IF(K11=0,"✔ At Target","▲ Exceeds Target")))</f>
        <v>▼ Below Required</v>
      </c>
    </row>
    <row r="12" spans="1:14" ht="18" customHeight="1" x14ac:dyDescent="0.35">
      <c r="B12" s="30" t="s">
        <v>88</v>
      </c>
      <c r="C12" s="31" t="s">
        <v>89</v>
      </c>
      <c r="D12" s="32">
        <v>3</v>
      </c>
      <c r="E12" s="32">
        <v>2</v>
      </c>
      <c r="F12" s="32">
        <v>4</v>
      </c>
      <c r="G12" s="32">
        <v>5</v>
      </c>
      <c r="H12" s="33">
        <f>IF($D$5="","",IF($D$5="In-charge / DM",D12,IF($D$5="Manager",E12,IF($D$5="Head",F12,IF($D$5="Chief",G12,"")))))</f>
        <v>5</v>
      </c>
      <c r="I12" s="34">
        <v>4</v>
      </c>
      <c r="J12" s="35">
        <v>3</v>
      </c>
      <c r="K12" s="36">
        <f>IF(J12="","",IF(H12="","",H12-J12))</f>
        <v>2</v>
      </c>
      <c r="L12" s="37">
        <f>IF(I12="","",IF(J12="","",I12-J12))</f>
        <v>1</v>
      </c>
      <c r="M12" s="38" t="str">
        <f>IF(J12="","—",IF(J12&lt;1.5,"Amateur",IF(J12&lt;2.5,"Collaborator",IF(J12&lt;3.5,"Enabler",IF(J12&lt;4.5,"Driving Force","Visionary")))))</f>
        <v>Enabler</v>
      </c>
      <c r="N12" s="39" t="str">
        <f>IF(J12="","—",IF(K12&gt;0,"▼ Below Required",IF(K12=0,"✔ At Target","▲ Exceeds Target")))</f>
        <v>▼ Below Required</v>
      </c>
    </row>
    <row r="13" spans="1:14" ht="18" customHeight="1" x14ac:dyDescent="0.35">
      <c r="B13" s="30" t="s">
        <v>90</v>
      </c>
      <c r="C13" s="31" t="s">
        <v>91</v>
      </c>
      <c r="D13" s="32">
        <v>3</v>
      </c>
      <c r="E13" s="32">
        <v>2</v>
      </c>
      <c r="F13" s="32">
        <v>5</v>
      </c>
      <c r="G13" s="32">
        <v>5</v>
      </c>
      <c r="H13" s="33">
        <f>IF($D$5="","",IF($D$5="In-charge / DM",D13,IF($D$5="Manager",E13,IF($D$5="Head",F13,IF($D$5="Chief",G13,"")))))</f>
        <v>5</v>
      </c>
      <c r="I13" s="34">
        <v>4</v>
      </c>
      <c r="J13" s="35">
        <v>3</v>
      </c>
      <c r="K13" s="36">
        <f>IF(J13="","",IF(H13="","",H13-J13))</f>
        <v>2</v>
      </c>
      <c r="L13" s="37">
        <f>IF(I13="","",IF(J13="","",I13-J13))</f>
        <v>1</v>
      </c>
      <c r="M13" s="38" t="str">
        <f>IF(J13="","—",IF(J13&lt;1.5,"Amateur",IF(J13&lt;2.5,"Collaborator",IF(J13&lt;3.5,"Enabler",IF(J13&lt;4.5,"Driving Force","Visionary")))))</f>
        <v>Enabler</v>
      </c>
      <c r="N13" s="39" t="str">
        <f>IF(J13="","—",IF(K13&gt;0,"▼ Below Required",IF(K13=0,"✔ At Target","▲ Exceeds Target")))</f>
        <v>▼ Below Required</v>
      </c>
    </row>
    <row r="14" spans="1:14" ht="18" customHeight="1" x14ac:dyDescent="0.35">
      <c r="B14" s="30" t="s">
        <v>92</v>
      </c>
      <c r="C14" s="31" t="s">
        <v>93</v>
      </c>
      <c r="D14" s="32">
        <v>1</v>
      </c>
      <c r="E14" s="32">
        <v>4</v>
      </c>
      <c r="F14" s="32">
        <v>4</v>
      </c>
      <c r="G14" s="32">
        <v>5</v>
      </c>
      <c r="H14" s="33">
        <f>IF($D$5="","",IF($D$5="In-charge / DM",D14,IF($D$5="Manager",E14,IF($D$5="Head",F14,IF($D$5="Chief",G14,"")))))</f>
        <v>5</v>
      </c>
      <c r="I14" s="34">
        <v>4</v>
      </c>
      <c r="J14" s="35">
        <v>3</v>
      </c>
      <c r="K14" s="36">
        <f>IF(J14="","",IF(H14="","",H14-J14))</f>
        <v>2</v>
      </c>
      <c r="L14" s="37">
        <f>IF(I14="","",IF(J14="","",I14-J14))</f>
        <v>1</v>
      </c>
      <c r="M14" s="38" t="str">
        <f>IF(J14="","—",IF(J14&lt;1.5,"Amateur",IF(J14&lt;2.5,"Collaborator",IF(J14&lt;3.5,"Enabler",IF(J14&lt;4.5,"Driving Force","Visionary")))))</f>
        <v>Enabler</v>
      </c>
      <c r="N14" s="39" t="str">
        <f>IF(J14="","—",IF(K14&gt;0,"▼ Below Required",IF(K14=0,"✔ At Target","▲ Exceeds Target")))</f>
        <v>▼ Below Required</v>
      </c>
    </row>
    <row r="15" spans="1:14" ht="18" customHeight="1" x14ac:dyDescent="0.35">
      <c r="B15" s="132" t="s">
        <v>94</v>
      </c>
      <c r="C15" s="132"/>
      <c r="D15" s="132"/>
      <c r="E15" s="132"/>
      <c r="F15" s="132"/>
      <c r="G15" s="132"/>
      <c r="H15" s="33" t="s">
        <v>95</v>
      </c>
      <c r="I15" s="40">
        <f>IFERROR(AVERAGE(I10:I14),"")</f>
        <v>3.8</v>
      </c>
      <c r="J15" s="40">
        <f>IFERROR(AVERAGE(J10:J14),"")</f>
        <v>3.2</v>
      </c>
      <c r="K15" s="40">
        <f>IFERROR(SUM(K10:K14),"")</f>
        <v>9</v>
      </c>
      <c r="L15" s="40">
        <f>IFERROR(AVERAGE(I10:I14)-AVERAGE(J10:J14),"")</f>
        <v>0.59999999999999964</v>
      </c>
      <c r="M15" s="33" t="s">
        <v>96</v>
      </c>
      <c r="N15" s="33" t="s">
        <v>97</v>
      </c>
    </row>
    <row r="17" spans="2:14" ht="19.5" customHeight="1" x14ac:dyDescent="0.35">
      <c r="B17" s="133" t="s">
        <v>98</v>
      </c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</row>
    <row r="18" spans="2:14" ht="18" customHeight="1" x14ac:dyDescent="0.35">
      <c r="B18" s="41" t="s">
        <v>99</v>
      </c>
      <c r="C18" s="42" t="s">
        <v>100</v>
      </c>
      <c r="D18" s="32">
        <v>3</v>
      </c>
      <c r="E18" s="32">
        <v>2</v>
      </c>
      <c r="F18" s="32">
        <v>4</v>
      </c>
      <c r="G18" s="32">
        <v>5</v>
      </c>
      <c r="H18" s="33">
        <f t="shared" ref="H18:H23" si="0">IF($D$5="","",IF($D$5="In-charge / DM",D18,IF($D$5="Manager",E18,IF($D$5="Head",F18,IF($D$5="Chief",G18,"")))))</f>
        <v>5</v>
      </c>
      <c r="I18" s="34">
        <v>3</v>
      </c>
      <c r="J18" s="35">
        <v>3</v>
      </c>
      <c r="K18" s="36">
        <f t="shared" ref="K18:K23" si="1">IF(J18="","",IF(H18="","",H18-J18))</f>
        <v>2</v>
      </c>
      <c r="L18" s="37">
        <f t="shared" ref="L18:L23" si="2">IF(I18="","",IF(J18="","",I18-J18))</f>
        <v>0</v>
      </c>
      <c r="M18" s="38" t="str">
        <f t="shared" ref="M18:M23" si="3">IF(J18="","—",IF(J18&lt;1.5,"Amateur",IF(J18&lt;2.5,"Collaborator",IF(J18&lt;3.5,"Enabler",IF(J18&lt;4.5,"Driving Force","Visionary")))))</f>
        <v>Enabler</v>
      </c>
      <c r="N18" s="39" t="str">
        <f t="shared" ref="N18:N23" si="4">IF(J18="","—",IF(K18&gt;0,"▼ Below Required",IF(K18=0,"✔ At Target","▲ Exceeds Target")))</f>
        <v>▼ Below Required</v>
      </c>
    </row>
    <row r="19" spans="2:14" ht="18" customHeight="1" x14ac:dyDescent="0.35">
      <c r="B19" s="41" t="s">
        <v>101</v>
      </c>
      <c r="C19" s="42" t="s">
        <v>102</v>
      </c>
      <c r="D19" s="32">
        <v>2</v>
      </c>
      <c r="E19" s="32">
        <v>4</v>
      </c>
      <c r="F19" s="32">
        <v>4</v>
      </c>
      <c r="G19" s="32">
        <v>5</v>
      </c>
      <c r="H19" s="33">
        <f t="shared" si="0"/>
        <v>5</v>
      </c>
      <c r="I19" s="34">
        <v>4</v>
      </c>
      <c r="J19" s="35">
        <v>3</v>
      </c>
      <c r="K19" s="36">
        <f t="shared" si="1"/>
        <v>2</v>
      </c>
      <c r="L19" s="37">
        <f t="shared" si="2"/>
        <v>1</v>
      </c>
      <c r="M19" s="38" t="str">
        <f t="shared" si="3"/>
        <v>Enabler</v>
      </c>
      <c r="N19" s="39" t="str">
        <f t="shared" si="4"/>
        <v>▼ Below Required</v>
      </c>
    </row>
    <row r="20" spans="2:14" ht="18" customHeight="1" x14ac:dyDescent="0.35">
      <c r="B20" s="41" t="s">
        <v>103</v>
      </c>
      <c r="C20" s="42" t="s">
        <v>104</v>
      </c>
      <c r="D20" s="32">
        <v>3</v>
      </c>
      <c r="E20" s="32">
        <v>2</v>
      </c>
      <c r="F20" s="32">
        <v>2</v>
      </c>
      <c r="G20" s="32">
        <v>5</v>
      </c>
      <c r="H20" s="33">
        <f t="shared" si="0"/>
        <v>5</v>
      </c>
      <c r="I20" s="34">
        <v>2</v>
      </c>
      <c r="J20" s="35">
        <v>4</v>
      </c>
      <c r="K20" s="36">
        <f t="shared" si="1"/>
        <v>1</v>
      </c>
      <c r="L20" s="37">
        <f t="shared" si="2"/>
        <v>-2</v>
      </c>
      <c r="M20" s="38" t="str">
        <f t="shared" si="3"/>
        <v>Driving Force</v>
      </c>
      <c r="N20" s="39" t="str">
        <f t="shared" si="4"/>
        <v>▼ Below Required</v>
      </c>
    </row>
    <row r="21" spans="2:14" ht="18" customHeight="1" x14ac:dyDescent="0.35">
      <c r="B21" s="41" t="s">
        <v>105</v>
      </c>
      <c r="C21" s="42" t="s">
        <v>106</v>
      </c>
      <c r="D21" s="32">
        <v>1</v>
      </c>
      <c r="E21" s="32">
        <v>2</v>
      </c>
      <c r="F21" s="32">
        <v>4</v>
      </c>
      <c r="G21" s="32">
        <v>5</v>
      </c>
      <c r="H21" s="33">
        <f t="shared" si="0"/>
        <v>5</v>
      </c>
      <c r="I21" s="34">
        <v>4</v>
      </c>
      <c r="J21" s="35">
        <v>3</v>
      </c>
      <c r="K21" s="36">
        <f t="shared" si="1"/>
        <v>2</v>
      </c>
      <c r="L21" s="37">
        <f t="shared" si="2"/>
        <v>1</v>
      </c>
      <c r="M21" s="38" t="str">
        <f t="shared" si="3"/>
        <v>Enabler</v>
      </c>
      <c r="N21" s="39" t="str">
        <f t="shared" si="4"/>
        <v>▼ Below Required</v>
      </c>
    </row>
    <row r="22" spans="2:14" ht="18" customHeight="1" x14ac:dyDescent="0.35">
      <c r="B22" s="41" t="s">
        <v>107</v>
      </c>
      <c r="C22" s="42" t="s">
        <v>108</v>
      </c>
      <c r="D22" s="32">
        <v>3</v>
      </c>
      <c r="E22" s="32">
        <v>4</v>
      </c>
      <c r="F22" s="32">
        <v>4</v>
      </c>
      <c r="G22" s="32">
        <v>4</v>
      </c>
      <c r="H22" s="33">
        <f t="shared" si="0"/>
        <v>4</v>
      </c>
      <c r="I22" s="34">
        <v>4</v>
      </c>
      <c r="J22" s="35">
        <v>3</v>
      </c>
      <c r="K22" s="36">
        <f t="shared" si="1"/>
        <v>1</v>
      </c>
      <c r="L22" s="37">
        <f t="shared" si="2"/>
        <v>1</v>
      </c>
      <c r="M22" s="38" t="str">
        <f t="shared" si="3"/>
        <v>Enabler</v>
      </c>
      <c r="N22" s="39" t="str">
        <f t="shared" si="4"/>
        <v>▼ Below Required</v>
      </c>
    </row>
    <row r="23" spans="2:14" ht="18" customHeight="1" x14ac:dyDescent="0.35">
      <c r="B23" s="41" t="s">
        <v>109</v>
      </c>
      <c r="C23" s="42" t="s">
        <v>110</v>
      </c>
      <c r="D23" s="32">
        <v>3</v>
      </c>
      <c r="E23" s="32">
        <v>2</v>
      </c>
      <c r="F23" s="32">
        <v>5</v>
      </c>
      <c r="G23" s="32">
        <v>5</v>
      </c>
      <c r="H23" s="33">
        <f t="shared" si="0"/>
        <v>5</v>
      </c>
      <c r="I23" s="34">
        <v>4</v>
      </c>
      <c r="J23" s="35">
        <v>3</v>
      </c>
      <c r="K23" s="36">
        <f t="shared" si="1"/>
        <v>2</v>
      </c>
      <c r="L23" s="37">
        <f t="shared" si="2"/>
        <v>1</v>
      </c>
      <c r="M23" s="38" t="str">
        <f t="shared" si="3"/>
        <v>Enabler</v>
      </c>
      <c r="N23" s="39" t="str">
        <f t="shared" si="4"/>
        <v>▼ Below Required</v>
      </c>
    </row>
    <row r="24" spans="2:14" ht="18" customHeight="1" x14ac:dyDescent="0.35">
      <c r="B24" s="134" t="s">
        <v>111</v>
      </c>
      <c r="C24" s="134"/>
      <c r="D24" s="134"/>
      <c r="E24" s="134"/>
      <c r="F24" s="134"/>
      <c r="G24" s="134"/>
      <c r="H24" s="43" t="s">
        <v>95</v>
      </c>
      <c r="I24" s="44">
        <f>IFERROR(AVERAGE(I18:I23),"")</f>
        <v>3.5</v>
      </c>
      <c r="J24" s="44">
        <f>IFERROR(AVERAGE(J18:J23),"")</f>
        <v>3.1666666666666665</v>
      </c>
      <c r="K24" s="44">
        <f>IFERROR(SUM(K18:K23),"")</f>
        <v>10</v>
      </c>
      <c r="L24" s="44">
        <f>IFERROR(AVERAGE(I18:I23)-AVERAGE(J18:J23),"")</f>
        <v>0.33333333333333348</v>
      </c>
      <c r="M24" s="43" t="s">
        <v>96</v>
      </c>
      <c r="N24" s="43" t="s">
        <v>97</v>
      </c>
    </row>
    <row r="26" spans="2:14" ht="19.5" customHeight="1" x14ac:dyDescent="0.35">
      <c r="B26" s="135" t="s">
        <v>112</v>
      </c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</row>
    <row r="27" spans="2:14" ht="18" customHeight="1" x14ac:dyDescent="0.35">
      <c r="B27" s="45" t="s">
        <v>113</v>
      </c>
      <c r="C27" s="46" t="s">
        <v>114</v>
      </c>
      <c r="D27" s="32">
        <v>3</v>
      </c>
      <c r="E27" s="32">
        <v>2</v>
      </c>
      <c r="F27" s="32">
        <v>4</v>
      </c>
      <c r="G27" s="32">
        <v>5</v>
      </c>
      <c r="H27" s="33">
        <f>IF($D$5="","",IF($D$5="In-charge / DM",D27,IF($D$5="Manager",E27,IF($D$5="Head",F27,IF($D$5="Chief",G27,"")))))</f>
        <v>5</v>
      </c>
      <c r="I27" s="34">
        <v>3</v>
      </c>
      <c r="J27" s="35">
        <v>2</v>
      </c>
      <c r="K27" s="36">
        <f>IF(J27="","",IF(H27="","",H27-J27))</f>
        <v>3</v>
      </c>
      <c r="L27" s="37">
        <f>IF(I27="","",IF(J27="","",I27-J27))</f>
        <v>1</v>
      </c>
      <c r="M27" s="38" t="str">
        <f>IF(J27="","—",IF(J27&lt;1.5,"Amateur",IF(J27&lt;2.5,"Collaborator",IF(J27&lt;3.5,"Enabler",IF(J27&lt;4.5,"Driving Force","Visionary")))))</f>
        <v>Collaborator</v>
      </c>
      <c r="N27" s="39" t="str">
        <f>IF(J27="","—",IF(K27&gt;0,"▼ Below Required",IF(K27=0,"✔ At Target","▲ Exceeds Target")))</f>
        <v>▼ Below Required</v>
      </c>
    </row>
    <row r="28" spans="2:14" ht="18" customHeight="1" x14ac:dyDescent="0.35">
      <c r="B28" s="45" t="s">
        <v>115</v>
      </c>
      <c r="C28" s="46" t="s">
        <v>116</v>
      </c>
      <c r="D28" s="32">
        <v>1</v>
      </c>
      <c r="E28" s="32">
        <v>2</v>
      </c>
      <c r="F28" s="32">
        <v>5</v>
      </c>
      <c r="G28" s="32">
        <v>5</v>
      </c>
      <c r="H28" s="33">
        <f>IF($D$5="","",IF($D$5="In-charge / DM",D28,IF($D$5="Manager",E28,IF($D$5="Head",F28,IF($D$5="Chief",G28,"")))))</f>
        <v>5</v>
      </c>
      <c r="I28" s="34">
        <v>4</v>
      </c>
      <c r="J28" s="35">
        <v>3</v>
      </c>
      <c r="K28" s="36">
        <f>IF(J28="","",IF(H28="","",H28-J28))</f>
        <v>2</v>
      </c>
      <c r="L28" s="37">
        <f>IF(I28="","",IF(J28="","",I28-J28))</f>
        <v>1</v>
      </c>
      <c r="M28" s="38" t="str">
        <f>IF(J28="","—",IF(J28&lt;1.5,"Amateur",IF(J28&lt;2.5,"Collaborator",IF(J28&lt;3.5,"Enabler",IF(J28&lt;4.5,"Driving Force","Visionary")))))</f>
        <v>Enabler</v>
      </c>
      <c r="N28" s="39" t="str">
        <f>IF(J28="","—",IF(K28&gt;0,"▼ Below Required",IF(K28=0,"✔ At Target","▲ Exceeds Target")))</f>
        <v>▼ Below Required</v>
      </c>
    </row>
    <row r="29" spans="2:14" ht="18" customHeight="1" x14ac:dyDescent="0.35">
      <c r="B29" s="45" t="s">
        <v>117</v>
      </c>
      <c r="C29" s="46" t="s">
        <v>118</v>
      </c>
      <c r="D29" s="32">
        <v>1</v>
      </c>
      <c r="E29" s="32">
        <v>4</v>
      </c>
      <c r="F29" s="32">
        <v>4</v>
      </c>
      <c r="G29" s="32">
        <v>5</v>
      </c>
      <c r="H29" s="33">
        <f>IF($D$5="","",IF($D$5="In-charge / DM",D29,IF($D$5="Manager",E29,IF($D$5="Head",F29,IF($D$5="Chief",G29,"")))))</f>
        <v>5</v>
      </c>
      <c r="I29" s="34">
        <v>4</v>
      </c>
      <c r="J29" s="35">
        <v>3</v>
      </c>
      <c r="K29" s="36">
        <f>IF(J29="","",IF(H29="","",H29-J29))</f>
        <v>2</v>
      </c>
      <c r="L29" s="37">
        <f>IF(I29="","",IF(J29="","",I29-J29))</f>
        <v>1</v>
      </c>
      <c r="M29" s="38" t="str">
        <f>IF(J29="","—",IF(J29&lt;1.5,"Amateur",IF(J29&lt;2.5,"Collaborator",IF(J29&lt;3.5,"Enabler",IF(J29&lt;4.5,"Driving Force","Visionary")))))</f>
        <v>Enabler</v>
      </c>
      <c r="N29" s="39" t="str">
        <f>IF(J29="","—",IF(K29&gt;0,"▼ Below Required",IF(K29=0,"✔ At Target","▲ Exceeds Target")))</f>
        <v>▼ Below Required</v>
      </c>
    </row>
    <row r="30" spans="2:14" ht="18" customHeight="1" x14ac:dyDescent="0.35">
      <c r="B30" s="45" t="s">
        <v>119</v>
      </c>
      <c r="C30" s="46" t="s">
        <v>120</v>
      </c>
      <c r="D30" s="32">
        <v>3</v>
      </c>
      <c r="E30" s="32">
        <v>2</v>
      </c>
      <c r="F30" s="32">
        <v>4</v>
      </c>
      <c r="G30" s="32">
        <v>4</v>
      </c>
      <c r="H30" s="33">
        <f>IF($D$5="","",IF($D$5="In-charge / DM",D30,IF($D$5="Manager",E30,IF($D$5="Head",F30,IF($D$5="Chief",G30,"")))))</f>
        <v>4</v>
      </c>
      <c r="I30" s="34">
        <v>4</v>
      </c>
      <c r="J30" s="35">
        <v>3</v>
      </c>
      <c r="K30" s="36">
        <f>IF(J30="","",IF(H30="","",H30-J30))</f>
        <v>1</v>
      </c>
      <c r="L30" s="37">
        <f>IF(I30="","",IF(J30="","",I30-J30))</f>
        <v>1</v>
      </c>
      <c r="M30" s="38" t="str">
        <f>IF(J30="","—",IF(J30&lt;1.5,"Amateur",IF(J30&lt;2.5,"Collaborator",IF(J30&lt;3.5,"Enabler",IF(J30&lt;4.5,"Driving Force","Visionary")))))</f>
        <v>Enabler</v>
      </c>
      <c r="N30" s="39" t="str">
        <f>IF(J30="","—",IF(K30&gt;0,"▼ Below Required",IF(K30=0,"✔ At Target","▲ Exceeds Target")))</f>
        <v>▼ Below Required</v>
      </c>
    </row>
    <row r="31" spans="2:14" ht="18" customHeight="1" x14ac:dyDescent="0.35">
      <c r="B31" s="45" t="s">
        <v>121</v>
      </c>
      <c r="C31" s="46" t="s">
        <v>122</v>
      </c>
      <c r="D31" s="32">
        <v>1</v>
      </c>
      <c r="E31" s="32">
        <v>2</v>
      </c>
      <c r="F31" s="32">
        <v>5</v>
      </c>
      <c r="G31" s="32">
        <v>5</v>
      </c>
      <c r="H31" s="33">
        <f>IF($D$5="","",IF($D$5="In-charge / DM",D31,IF($D$5="Manager",E31,IF($D$5="Head",F31,IF($D$5="Chief",G31,"")))))</f>
        <v>5</v>
      </c>
      <c r="I31" s="34">
        <v>3</v>
      </c>
      <c r="J31" s="35">
        <v>3</v>
      </c>
      <c r="K31" s="36">
        <f>IF(J31="","",IF(H31="","",H31-J31))</f>
        <v>2</v>
      </c>
      <c r="L31" s="37">
        <f>IF(I31="","",IF(J31="","",I31-J31))</f>
        <v>0</v>
      </c>
      <c r="M31" s="38" t="str">
        <f>IF(J31="","—",IF(J31&lt;1.5,"Amateur",IF(J31&lt;2.5,"Collaborator",IF(J31&lt;3.5,"Enabler",IF(J31&lt;4.5,"Driving Force","Visionary")))))</f>
        <v>Enabler</v>
      </c>
      <c r="N31" s="39" t="str">
        <f>IF(J31="","—",IF(K31&gt;0,"▼ Below Required",IF(K31=0,"✔ At Target","▲ Exceeds Target")))</f>
        <v>▼ Below Required</v>
      </c>
    </row>
    <row r="32" spans="2:14" ht="18" customHeight="1" x14ac:dyDescent="0.35">
      <c r="B32" s="136" t="s">
        <v>123</v>
      </c>
      <c r="C32" s="136"/>
      <c r="D32" s="136"/>
      <c r="E32" s="136"/>
      <c r="F32" s="136"/>
      <c r="G32" s="136"/>
      <c r="H32" s="47" t="s">
        <v>95</v>
      </c>
      <c r="I32" s="48">
        <f>IFERROR(AVERAGE(I27:I31),"")</f>
        <v>3.6</v>
      </c>
      <c r="J32" s="48">
        <f>IFERROR(AVERAGE(J27:J31),"")</f>
        <v>2.8</v>
      </c>
      <c r="K32" s="48">
        <f>IFERROR(SUM(K27:K31),"")</f>
        <v>10</v>
      </c>
      <c r="L32" s="48">
        <f>IFERROR(AVERAGE(I27:I31)-AVERAGE(J27:J31),"")</f>
        <v>0.80000000000000027</v>
      </c>
      <c r="M32" s="47" t="s">
        <v>96</v>
      </c>
      <c r="N32" s="47" t="s">
        <v>97</v>
      </c>
    </row>
    <row r="34" spans="2:14" ht="19.5" customHeight="1" x14ac:dyDescent="0.35">
      <c r="B34" s="137" t="s">
        <v>124</v>
      </c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</row>
    <row r="35" spans="2:14" ht="18" customHeight="1" x14ac:dyDescent="0.35">
      <c r="B35" s="49" t="s">
        <v>125</v>
      </c>
      <c r="C35" s="50" t="s">
        <v>126</v>
      </c>
      <c r="D35" s="32">
        <v>1</v>
      </c>
      <c r="E35" s="32">
        <v>2</v>
      </c>
      <c r="F35" s="32">
        <v>4</v>
      </c>
      <c r="G35" s="32">
        <v>5</v>
      </c>
      <c r="H35" s="33">
        <f>IF($D$5="","",IF($D$5="In-charge / DM",D35,IF($D$5="Manager",E35,IF($D$5="Head",F35,IF($D$5="Chief",G35,"")))))</f>
        <v>5</v>
      </c>
      <c r="I35" s="34">
        <v>3</v>
      </c>
      <c r="J35" s="35">
        <v>4</v>
      </c>
      <c r="K35" s="36">
        <f>IF(J35="","",IF(H35="","",H35-J35))</f>
        <v>1</v>
      </c>
      <c r="L35" s="37">
        <f>IF(I35="","",IF(J35="","",I35-J35))</f>
        <v>-1</v>
      </c>
      <c r="M35" s="38" t="str">
        <f>IF(J35="","—",IF(J35&lt;1.5,"Amateur",IF(J35&lt;2.5,"Collaborator",IF(J35&lt;3.5,"Enabler",IF(J35&lt;4.5,"Driving Force","Visionary")))))</f>
        <v>Driving Force</v>
      </c>
      <c r="N35" s="39" t="str">
        <f>IF(J35="","—",IF(K35&gt;0,"▼ Below Required",IF(K35=0,"✔ At Target","▲ Exceeds Target")))</f>
        <v>▼ Below Required</v>
      </c>
    </row>
    <row r="36" spans="2:14" ht="18" customHeight="1" x14ac:dyDescent="0.35">
      <c r="B36" s="49" t="s">
        <v>127</v>
      </c>
      <c r="C36" s="50" t="s">
        <v>128</v>
      </c>
      <c r="D36" s="32">
        <v>2</v>
      </c>
      <c r="E36" s="32">
        <v>2</v>
      </c>
      <c r="F36" s="32">
        <v>4</v>
      </c>
      <c r="G36" s="32">
        <v>5</v>
      </c>
      <c r="H36" s="33">
        <f>IF($D$5="","",IF($D$5="In-charge / DM",D36,IF($D$5="Manager",E36,IF($D$5="Head",F36,IF($D$5="Chief",G36,"")))))</f>
        <v>5</v>
      </c>
      <c r="I36" s="34">
        <v>3</v>
      </c>
      <c r="J36" s="35">
        <v>3</v>
      </c>
      <c r="K36" s="36">
        <f>IF(J36="","",IF(H36="","",H36-J36))</f>
        <v>2</v>
      </c>
      <c r="L36" s="37">
        <f>IF(I36="","",IF(J36="","",I36-J36))</f>
        <v>0</v>
      </c>
      <c r="M36" s="38" t="str">
        <f>IF(J36="","—",IF(J36&lt;1.5,"Amateur",IF(J36&lt;2.5,"Collaborator",IF(J36&lt;3.5,"Enabler",IF(J36&lt;4.5,"Driving Force","Visionary")))))</f>
        <v>Enabler</v>
      </c>
      <c r="N36" s="39" t="str">
        <f>IF(J36="","—",IF(K36&gt;0,"▼ Below Required",IF(K36=0,"✔ At Target","▲ Exceeds Target")))</f>
        <v>▼ Below Required</v>
      </c>
    </row>
    <row r="37" spans="2:14" ht="18" customHeight="1" x14ac:dyDescent="0.35">
      <c r="B37" s="49" t="s">
        <v>129</v>
      </c>
      <c r="C37" s="50" t="s">
        <v>130</v>
      </c>
      <c r="D37" s="32">
        <v>1</v>
      </c>
      <c r="E37" s="32">
        <v>2</v>
      </c>
      <c r="F37" s="32">
        <v>2</v>
      </c>
      <c r="G37" s="32">
        <v>5</v>
      </c>
      <c r="H37" s="33">
        <f>IF($D$5="","",IF($D$5="In-charge / DM",D37,IF($D$5="Manager",E37,IF($D$5="Head",F37,IF($D$5="Chief",G37,"")))))</f>
        <v>5</v>
      </c>
      <c r="I37" s="34">
        <v>3</v>
      </c>
      <c r="J37" s="35">
        <v>2</v>
      </c>
      <c r="K37" s="36">
        <f>IF(J37="","",IF(H37="","",H37-J37))</f>
        <v>3</v>
      </c>
      <c r="L37" s="37">
        <f>IF(I37="","",IF(J37="","",I37-J37))</f>
        <v>1</v>
      </c>
      <c r="M37" s="38" t="str">
        <f>IF(J37="","—",IF(J37&lt;1.5,"Amateur",IF(J37&lt;2.5,"Collaborator",IF(J37&lt;3.5,"Enabler",IF(J37&lt;4.5,"Driving Force","Visionary")))))</f>
        <v>Collaborator</v>
      </c>
      <c r="N37" s="39" t="str">
        <f>IF(J37="","—",IF(K37&gt;0,"▼ Below Required",IF(K37=0,"✔ At Target","▲ Exceeds Target")))</f>
        <v>▼ Below Required</v>
      </c>
    </row>
    <row r="38" spans="2:14" ht="18" customHeight="1" x14ac:dyDescent="0.35">
      <c r="B38" s="49" t="s">
        <v>131</v>
      </c>
      <c r="C38" s="50" t="s">
        <v>132</v>
      </c>
      <c r="D38" s="32">
        <v>3</v>
      </c>
      <c r="E38" s="32">
        <v>2</v>
      </c>
      <c r="F38" s="32">
        <v>4</v>
      </c>
      <c r="G38" s="32">
        <v>5</v>
      </c>
      <c r="H38" s="33">
        <f>IF($D$5="","",IF($D$5="In-charge / DM",D38,IF($D$5="Manager",E38,IF($D$5="Head",F38,IF($D$5="Chief",G38,"")))))</f>
        <v>5</v>
      </c>
      <c r="I38" s="34">
        <v>3</v>
      </c>
      <c r="J38" s="35">
        <v>3</v>
      </c>
      <c r="K38" s="36">
        <f>IF(J38="","",IF(H38="","",H38-J38))</f>
        <v>2</v>
      </c>
      <c r="L38" s="37">
        <f>IF(I38="","",IF(J38="","",I38-J38))</f>
        <v>0</v>
      </c>
      <c r="M38" s="38" t="str">
        <f>IF(J38="","—",IF(J38&lt;1.5,"Amateur",IF(J38&lt;2.5,"Collaborator",IF(J38&lt;3.5,"Enabler",IF(J38&lt;4.5,"Driving Force","Visionary")))))</f>
        <v>Enabler</v>
      </c>
      <c r="N38" s="39" t="str">
        <f>IF(J38="","—",IF(K38&gt;0,"▼ Below Required",IF(K38=0,"✔ At Target","▲ Exceeds Target")))</f>
        <v>▼ Below Required</v>
      </c>
    </row>
    <row r="39" spans="2:14" ht="18" customHeight="1" x14ac:dyDescent="0.35">
      <c r="B39" s="49" t="s">
        <v>133</v>
      </c>
      <c r="C39" s="50" t="s">
        <v>134</v>
      </c>
      <c r="D39" s="32">
        <v>3</v>
      </c>
      <c r="E39" s="32">
        <v>4</v>
      </c>
      <c r="F39" s="32">
        <v>4</v>
      </c>
      <c r="G39" s="32">
        <v>5</v>
      </c>
      <c r="H39" s="33">
        <f>IF($D$5="","",IF($D$5="In-charge / DM",D39,IF($D$5="Manager",E39,IF($D$5="Head",F39,IF($D$5="Chief",G39,"")))))</f>
        <v>5</v>
      </c>
      <c r="I39" s="34">
        <v>3</v>
      </c>
      <c r="J39" s="35">
        <v>3</v>
      </c>
      <c r="K39" s="36">
        <f>IF(J39="","",IF(H39="","",H39-J39))</f>
        <v>2</v>
      </c>
      <c r="L39" s="37">
        <f>IF(I39="","",IF(J39="","",I39-J39))</f>
        <v>0</v>
      </c>
      <c r="M39" s="38" t="str">
        <f>IF(J39="","—",IF(J39&lt;1.5,"Amateur",IF(J39&lt;2.5,"Collaborator",IF(J39&lt;3.5,"Enabler",IF(J39&lt;4.5,"Driving Force","Visionary")))))</f>
        <v>Enabler</v>
      </c>
      <c r="N39" s="39" t="str">
        <f>IF(J39="","—",IF(K39&gt;0,"▼ Below Required",IF(K39=0,"✔ At Target","▲ Exceeds Target")))</f>
        <v>▼ Below Required</v>
      </c>
    </row>
    <row r="40" spans="2:14" ht="18" customHeight="1" x14ac:dyDescent="0.35">
      <c r="B40" s="138" t="s">
        <v>135</v>
      </c>
      <c r="C40" s="138"/>
      <c r="D40" s="138"/>
      <c r="E40" s="138"/>
      <c r="F40" s="138"/>
      <c r="G40" s="138"/>
      <c r="H40" s="51" t="s">
        <v>95</v>
      </c>
      <c r="I40" s="52">
        <f>IFERROR(AVERAGE(I35:I39),"")</f>
        <v>3</v>
      </c>
      <c r="J40" s="52">
        <f>IFERROR(AVERAGE(J35:J39),"")</f>
        <v>3</v>
      </c>
      <c r="K40" s="52">
        <f>IFERROR(SUM(K35:K39),"")</f>
        <v>10</v>
      </c>
      <c r="L40" s="52">
        <f>IFERROR(AVERAGE(I35:I39)-AVERAGE(J35:J39),"")</f>
        <v>0</v>
      </c>
      <c r="M40" s="51" t="s">
        <v>96</v>
      </c>
      <c r="N40" s="51" t="s">
        <v>97</v>
      </c>
    </row>
    <row r="42" spans="2:14" ht="19.5" customHeight="1" x14ac:dyDescent="0.35">
      <c r="B42" s="139" t="s">
        <v>136</v>
      </c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</row>
    <row r="43" spans="2:14" ht="18" customHeight="1" x14ac:dyDescent="0.35">
      <c r="B43" s="53" t="s">
        <v>137</v>
      </c>
      <c r="C43" s="54" t="s">
        <v>138</v>
      </c>
      <c r="D43" s="32">
        <v>1</v>
      </c>
      <c r="E43" s="32">
        <v>2</v>
      </c>
      <c r="F43" s="32">
        <v>4</v>
      </c>
      <c r="G43" s="32">
        <v>5</v>
      </c>
      <c r="H43" s="33">
        <f t="shared" ref="H43:H48" si="5">IF($D$5="","",IF($D$5="In-charge / DM",D43,IF($D$5="Manager",E43,IF($D$5="Head",F43,IF($D$5="Chief",G43,"")))))</f>
        <v>5</v>
      </c>
      <c r="I43" s="34">
        <v>4</v>
      </c>
      <c r="J43" s="35">
        <v>3</v>
      </c>
      <c r="K43" s="36">
        <f t="shared" ref="K43:K48" si="6">IF(J43="","",IF(H43="","",H43-J43))</f>
        <v>2</v>
      </c>
      <c r="L43" s="37">
        <f t="shared" ref="L43:L48" si="7">IF(I43="","",IF(J43="","",I43-J43))</f>
        <v>1</v>
      </c>
      <c r="M43" s="38" t="str">
        <f t="shared" ref="M43:M48" si="8">IF(J43="","—",IF(J43&lt;1.5,"Amateur",IF(J43&lt;2.5,"Collaborator",IF(J43&lt;3.5,"Enabler",IF(J43&lt;4.5,"Driving Force","Visionary")))))</f>
        <v>Enabler</v>
      </c>
      <c r="N43" s="39" t="str">
        <f t="shared" ref="N43:N48" si="9">IF(J43="","—",IF(K43&gt;0,"▼ Below Required",IF(K43=0,"✔ At Target","▲ Exceeds Target")))</f>
        <v>▼ Below Required</v>
      </c>
    </row>
    <row r="44" spans="2:14" ht="18" customHeight="1" x14ac:dyDescent="0.35">
      <c r="B44" s="53" t="s">
        <v>139</v>
      </c>
      <c r="C44" s="54" t="s">
        <v>140</v>
      </c>
      <c r="D44" s="32">
        <v>1</v>
      </c>
      <c r="E44" s="32">
        <v>2</v>
      </c>
      <c r="F44" s="32">
        <v>4</v>
      </c>
      <c r="G44" s="32">
        <v>5</v>
      </c>
      <c r="H44" s="33">
        <f t="shared" si="5"/>
        <v>5</v>
      </c>
      <c r="I44" s="34">
        <v>4</v>
      </c>
      <c r="J44" s="35">
        <v>3</v>
      </c>
      <c r="K44" s="36">
        <f t="shared" si="6"/>
        <v>2</v>
      </c>
      <c r="L44" s="37">
        <f t="shared" si="7"/>
        <v>1</v>
      </c>
      <c r="M44" s="38" t="str">
        <f t="shared" si="8"/>
        <v>Enabler</v>
      </c>
      <c r="N44" s="39" t="str">
        <f t="shared" si="9"/>
        <v>▼ Below Required</v>
      </c>
    </row>
    <row r="45" spans="2:14" ht="18" customHeight="1" x14ac:dyDescent="0.35">
      <c r="B45" s="53" t="s">
        <v>141</v>
      </c>
      <c r="C45" s="54" t="s">
        <v>142</v>
      </c>
      <c r="D45" s="32">
        <v>3</v>
      </c>
      <c r="E45" s="32">
        <v>2</v>
      </c>
      <c r="F45" s="32">
        <v>5</v>
      </c>
      <c r="G45" s="32">
        <v>5</v>
      </c>
      <c r="H45" s="33">
        <f t="shared" si="5"/>
        <v>5</v>
      </c>
      <c r="I45" s="34">
        <v>4</v>
      </c>
      <c r="J45" s="35">
        <v>5</v>
      </c>
      <c r="K45" s="36">
        <f t="shared" si="6"/>
        <v>0</v>
      </c>
      <c r="L45" s="37">
        <f t="shared" si="7"/>
        <v>-1</v>
      </c>
      <c r="M45" s="38" t="str">
        <f t="shared" si="8"/>
        <v>Visionary</v>
      </c>
      <c r="N45" s="39" t="str">
        <f t="shared" si="9"/>
        <v>✔ At Target</v>
      </c>
    </row>
    <row r="46" spans="2:14" ht="18" customHeight="1" x14ac:dyDescent="0.35">
      <c r="B46" s="53" t="s">
        <v>143</v>
      </c>
      <c r="C46" s="54" t="s">
        <v>144</v>
      </c>
      <c r="D46" s="32">
        <v>1</v>
      </c>
      <c r="E46" s="32">
        <v>4</v>
      </c>
      <c r="F46" s="32">
        <v>5</v>
      </c>
      <c r="G46" s="32">
        <v>5</v>
      </c>
      <c r="H46" s="33">
        <f t="shared" si="5"/>
        <v>5</v>
      </c>
      <c r="I46" s="34">
        <v>4</v>
      </c>
      <c r="J46" s="35">
        <v>5</v>
      </c>
      <c r="K46" s="36">
        <f t="shared" si="6"/>
        <v>0</v>
      </c>
      <c r="L46" s="37">
        <f t="shared" si="7"/>
        <v>-1</v>
      </c>
      <c r="M46" s="38" t="str">
        <f t="shared" si="8"/>
        <v>Visionary</v>
      </c>
      <c r="N46" s="39" t="str">
        <f t="shared" si="9"/>
        <v>✔ At Target</v>
      </c>
    </row>
    <row r="47" spans="2:14" ht="18" customHeight="1" x14ac:dyDescent="0.35">
      <c r="B47" s="53" t="s">
        <v>145</v>
      </c>
      <c r="C47" s="54" t="s">
        <v>146</v>
      </c>
      <c r="D47" s="32">
        <v>3</v>
      </c>
      <c r="E47" s="32">
        <v>2</v>
      </c>
      <c r="F47" s="32">
        <v>5</v>
      </c>
      <c r="G47" s="32">
        <v>5</v>
      </c>
      <c r="H47" s="33">
        <f t="shared" si="5"/>
        <v>5</v>
      </c>
      <c r="I47" s="34">
        <v>4</v>
      </c>
      <c r="J47" s="35">
        <v>4</v>
      </c>
      <c r="K47" s="36">
        <f t="shared" si="6"/>
        <v>1</v>
      </c>
      <c r="L47" s="37">
        <f t="shared" si="7"/>
        <v>0</v>
      </c>
      <c r="M47" s="38" t="str">
        <f t="shared" si="8"/>
        <v>Driving Force</v>
      </c>
      <c r="N47" s="39" t="str">
        <f t="shared" si="9"/>
        <v>▼ Below Required</v>
      </c>
    </row>
    <row r="48" spans="2:14" ht="18" customHeight="1" x14ac:dyDescent="0.35">
      <c r="B48" s="53" t="s">
        <v>147</v>
      </c>
      <c r="C48" s="54" t="s">
        <v>148</v>
      </c>
      <c r="D48" s="32">
        <v>3</v>
      </c>
      <c r="E48" s="32">
        <v>2</v>
      </c>
      <c r="F48" s="32">
        <v>4</v>
      </c>
      <c r="G48" s="32">
        <v>5</v>
      </c>
      <c r="H48" s="33">
        <f t="shared" si="5"/>
        <v>5</v>
      </c>
      <c r="I48" s="34">
        <v>4</v>
      </c>
      <c r="J48" s="35">
        <v>4</v>
      </c>
      <c r="K48" s="36">
        <f t="shared" si="6"/>
        <v>1</v>
      </c>
      <c r="L48" s="37">
        <f t="shared" si="7"/>
        <v>0</v>
      </c>
      <c r="M48" s="38" t="str">
        <f t="shared" si="8"/>
        <v>Driving Force</v>
      </c>
      <c r="N48" s="39" t="str">
        <f t="shared" si="9"/>
        <v>▼ Below Required</v>
      </c>
    </row>
    <row r="49" spans="2:14" ht="18" customHeight="1" x14ac:dyDescent="0.35">
      <c r="B49" s="140" t="s">
        <v>149</v>
      </c>
      <c r="C49" s="140"/>
      <c r="D49" s="140"/>
      <c r="E49" s="140"/>
      <c r="F49" s="140"/>
      <c r="G49" s="140"/>
      <c r="H49" s="55" t="s">
        <v>95</v>
      </c>
      <c r="I49" s="56">
        <f>IFERROR(AVERAGE(I43:I48),"")</f>
        <v>4</v>
      </c>
      <c r="J49" s="56">
        <f>IFERROR(AVERAGE(J43:J48),"")</f>
        <v>4</v>
      </c>
      <c r="K49" s="56">
        <f>IFERROR(SUM(K43:K48),"")</f>
        <v>6</v>
      </c>
      <c r="L49" s="56">
        <f>IFERROR(AVERAGE(I43:I48)-AVERAGE(J43:J48),"")</f>
        <v>0</v>
      </c>
      <c r="M49" s="55" t="s">
        <v>96</v>
      </c>
      <c r="N49" s="55" t="s">
        <v>97</v>
      </c>
    </row>
    <row r="51" spans="2:14" ht="19.5" customHeight="1" x14ac:dyDescent="0.35">
      <c r="B51" s="141" t="s">
        <v>150</v>
      </c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</row>
    <row r="52" spans="2:14" ht="18" customHeight="1" x14ac:dyDescent="0.35">
      <c r="B52" s="57" t="s">
        <v>151</v>
      </c>
      <c r="C52" s="58" t="s">
        <v>152</v>
      </c>
      <c r="D52" s="32">
        <v>1</v>
      </c>
      <c r="E52" s="32">
        <v>2</v>
      </c>
      <c r="F52" s="32">
        <v>5</v>
      </c>
      <c r="G52" s="32">
        <v>5</v>
      </c>
      <c r="H52" s="33">
        <f t="shared" ref="H52:H57" si="10">IF($D$5="","",IF($D$5="In-charge / DM",D52,IF($D$5="Manager",E52,IF($D$5="Head",F52,IF($D$5="Chief",G52,"")))))</f>
        <v>5</v>
      </c>
      <c r="I52" s="34">
        <v>3</v>
      </c>
      <c r="J52" s="35">
        <v>3</v>
      </c>
      <c r="K52" s="36">
        <f t="shared" ref="K52:K57" si="11">IF(J52="","",IF(H52="","",H52-J52))</f>
        <v>2</v>
      </c>
      <c r="L52" s="37">
        <f t="shared" ref="L52:L57" si="12">IF(I52="","",IF(J52="","",I52-J52))</f>
        <v>0</v>
      </c>
      <c r="M52" s="38" t="str">
        <f t="shared" ref="M52:M57" si="13">IF(J52="","—",IF(J52&lt;1.5,"Amateur",IF(J52&lt;2.5,"Collaborator",IF(J52&lt;3.5,"Enabler",IF(J52&lt;4.5,"Driving Force","Visionary")))))</f>
        <v>Enabler</v>
      </c>
      <c r="N52" s="39" t="str">
        <f t="shared" ref="N52:N57" si="14">IF(J52="","—",IF(K52&gt;0,"▼ Below Required",IF(K52=0,"✔ At Target","▲ Exceeds Target")))</f>
        <v>▼ Below Required</v>
      </c>
    </row>
    <row r="53" spans="2:14" ht="18" customHeight="1" x14ac:dyDescent="0.35">
      <c r="B53" s="57" t="s">
        <v>153</v>
      </c>
      <c r="C53" s="58" t="s">
        <v>154</v>
      </c>
      <c r="D53" s="32">
        <v>3</v>
      </c>
      <c r="E53" s="32">
        <v>2</v>
      </c>
      <c r="F53" s="32">
        <v>5</v>
      </c>
      <c r="G53" s="32">
        <v>5</v>
      </c>
      <c r="H53" s="33">
        <f t="shared" si="10"/>
        <v>5</v>
      </c>
      <c r="I53" s="34">
        <v>3</v>
      </c>
      <c r="J53" s="35">
        <v>3</v>
      </c>
      <c r="K53" s="36">
        <f t="shared" si="11"/>
        <v>2</v>
      </c>
      <c r="L53" s="37">
        <f t="shared" si="12"/>
        <v>0</v>
      </c>
      <c r="M53" s="38" t="str">
        <f t="shared" si="13"/>
        <v>Enabler</v>
      </c>
      <c r="N53" s="39" t="str">
        <f t="shared" si="14"/>
        <v>▼ Below Required</v>
      </c>
    </row>
    <row r="54" spans="2:14" ht="18" customHeight="1" x14ac:dyDescent="0.35">
      <c r="B54" s="57" t="s">
        <v>155</v>
      </c>
      <c r="C54" s="58" t="s">
        <v>156</v>
      </c>
      <c r="D54" s="32">
        <v>3</v>
      </c>
      <c r="E54" s="32">
        <v>2</v>
      </c>
      <c r="F54" s="32">
        <v>4</v>
      </c>
      <c r="G54" s="32">
        <v>5</v>
      </c>
      <c r="H54" s="33">
        <f t="shared" si="10"/>
        <v>5</v>
      </c>
      <c r="I54" s="34">
        <v>4</v>
      </c>
      <c r="J54" s="35">
        <v>3</v>
      </c>
      <c r="K54" s="36">
        <f t="shared" si="11"/>
        <v>2</v>
      </c>
      <c r="L54" s="37">
        <f t="shared" si="12"/>
        <v>1</v>
      </c>
      <c r="M54" s="38" t="str">
        <f t="shared" si="13"/>
        <v>Enabler</v>
      </c>
      <c r="N54" s="39" t="str">
        <f t="shared" si="14"/>
        <v>▼ Below Required</v>
      </c>
    </row>
    <row r="55" spans="2:14" ht="18" customHeight="1" x14ac:dyDescent="0.35">
      <c r="B55" s="57" t="s">
        <v>157</v>
      </c>
      <c r="C55" s="58" t="s">
        <v>158</v>
      </c>
      <c r="D55" s="32">
        <v>3</v>
      </c>
      <c r="E55" s="32">
        <v>2</v>
      </c>
      <c r="F55" s="32">
        <v>5</v>
      </c>
      <c r="G55" s="32">
        <v>5</v>
      </c>
      <c r="H55" s="33">
        <f t="shared" si="10"/>
        <v>5</v>
      </c>
      <c r="I55" s="34">
        <v>3</v>
      </c>
      <c r="J55" s="35">
        <v>3</v>
      </c>
      <c r="K55" s="36">
        <f t="shared" si="11"/>
        <v>2</v>
      </c>
      <c r="L55" s="37">
        <f t="shared" si="12"/>
        <v>0</v>
      </c>
      <c r="M55" s="38" t="str">
        <f t="shared" si="13"/>
        <v>Enabler</v>
      </c>
      <c r="N55" s="39" t="str">
        <f t="shared" si="14"/>
        <v>▼ Below Required</v>
      </c>
    </row>
    <row r="56" spans="2:14" ht="18" customHeight="1" x14ac:dyDescent="0.35">
      <c r="B56" s="57" t="s">
        <v>159</v>
      </c>
      <c r="C56" s="58" t="s">
        <v>160</v>
      </c>
      <c r="D56" s="32">
        <v>3</v>
      </c>
      <c r="E56" s="32">
        <v>2</v>
      </c>
      <c r="F56" s="32">
        <v>5</v>
      </c>
      <c r="G56" s="32">
        <v>5</v>
      </c>
      <c r="H56" s="33">
        <f t="shared" si="10"/>
        <v>5</v>
      </c>
      <c r="I56" s="34">
        <v>3</v>
      </c>
      <c r="J56" s="35">
        <v>3</v>
      </c>
      <c r="K56" s="36">
        <f t="shared" si="11"/>
        <v>2</v>
      </c>
      <c r="L56" s="37">
        <f t="shared" si="12"/>
        <v>0</v>
      </c>
      <c r="M56" s="38" t="str">
        <f t="shared" si="13"/>
        <v>Enabler</v>
      </c>
      <c r="N56" s="39" t="str">
        <f t="shared" si="14"/>
        <v>▼ Below Required</v>
      </c>
    </row>
    <row r="57" spans="2:14" ht="18" customHeight="1" x14ac:dyDescent="0.35">
      <c r="B57" s="57" t="s">
        <v>161</v>
      </c>
      <c r="C57" s="58" t="s">
        <v>162</v>
      </c>
      <c r="D57" s="32">
        <v>3</v>
      </c>
      <c r="E57" s="32">
        <v>4</v>
      </c>
      <c r="F57" s="32">
        <v>5</v>
      </c>
      <c r="G57" s="32">
        <v>5</v>
      </c>
      <c r="H57" s="33">
        <f t="shared" si="10"/>
        <v>5</v>
      </c>
      <c r="I57" s="34">
        <v>3</v>
      </c>
      <c r="J57" s="35">
        <v>3</v>
      </c>
      <c r="K57" s="36">
        <f t="shared" si="11"/>
        <v>2</v>
      </c>
      <c r="L57" s="37">
        <f t="shared" si="12"/>
        <v>0</v>
      </c>
      <c r="M57" s="38" t="str">
        <f t="shared" si="13"/>
        <v>Enabler</v>
      </c>
      <c r="N57" s="39" t="str">
        <f t="shared" si="14"/>
        <v>▼ Below Required</v>
      </c>
    </row>
    <row r="58" spans="2:14" ht="18" customHeight="1" x14ac:dyDescent="0.35">
      <c r="B58" s="142" t="s">
        <v>163</v>
      </c>
      <c r="C58" s="142"/>
      <c r="D58" s="142"/>
      <c r="E58" s="142"/>
      <c r="F58" s="142"/>
      <c r="G58" s="142"/>
      <c r="H58" s="59" t="s">
        <v>95</v>
      </c>
      <c r="I58" s="60">
        <f>IFERROR(AVERAGE(I52:I57),"")</f>
        <v>3.1666666666666665</v>
      </c>
      <c r="J58" s="60">
        <f>IFERROR(AVERAGE(J52:J57),"")</f>
        <v>3</v>
      </c>
      <c r="K58" s="60">
        <f>IFERROR(SUM(K52:K57),"")</f>
        <v>12</v>
      </c>
      <c r="L58" s="60">
        <f>IFERROR(AVERAGE(I52:I57)-AVERAGE(J52:J57),"")</f>
        <v>0.16666666666666652</v>
      </c>
      <c r="M58" s="59" t="s">
        <v>96</v>
      </c>
      <c r="N58" s="59" t="s">
        <v>97</v>
      </c>
    </row>
    <row r="60" spans="2:14" ht="19.5" customHeight="1" x14ac:dyDescent="0.35">
      <c r="B60" s="143" t="s">
        <v>164</v>
      </c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</row>
    <row r="61" spans="2:14" ht="18" customHeight="1" x14ac:dyDescent="0.35">
      <c r="B61" s="61" t="s">
        <v>165</v>
      </c>
      <c r="C61" s="62" t="s">
        <v>166</v>
      </c>
      <c r="D61" s="32">
        <v>1</v>
      </c>
      <c r="E61" s="32">
        <v>2</v>
      </c>
      <c r="F61" s="32">
        <v>5</v>
      </c>
      <c r="G61" s="32">
        <v>5</v>
      </c>
      <c r="H61" s="33">
        <f t="shared" ref="H61:H66" si="15">IF($D$5="","",IF($D$5="In-charge / DM",D61,IF($D$5="Manager",E61,IF($D$5="Head",F61,IF($D$5="Chief",G61,"")))))</f>
        <v>5</v>
      </c>
      <c r="I61" s="34">
        <v>3</v>
      </c>
      <c r="J61" s="35">
        <v>4</v>
      </c>
      <c r="K61" s="36">
        <f t="shared" ref="K61:K66" si="16">IF(J61="","",IF(H61="","",H61-J61))</f>
        <v>1</v>
      </c>
      <c r="L61" s="37">
        <f t="shared" ref="L61:L66" si="17">IF(I61="","",IF(J61="","",I61-J61))</f>
        <v>-1</v>
      </c>
      <c r="M61" s="38" t="str">
        <f t="shared" ref="M61:M66" si="18">IF(J61="","—",IF(J61&lt;1.5,"Amateur",IF(J61&lt;2.5,"Collaborator",IF(J61&lt;3.5,"Enabler",IF(J61&lt;4.5,"Driving Force","Visionary")))))</f>
        <v>Driving Force</v>
      </c>
      <c r="N61" s="39" t="str">
        <f t="shared" ref="N61:N66" si="19">IF(J61="","—",IF(K61&gt;0,"▼ Below Required",IF(K61=0,"✔ At Target","▲ Exceeds Target")))</f>
        <v>▼ Below Required</v>
      </c>
    </row>
    <row r="62" spans="2:14" ht="18" customHeight="1" x14ac:dyDescent="0.35">
      <c r="B62" s="61" t="s">
        <v>167</v>
      </c>
      <c r="C62" s="62" t="s">
        <v>168</v>
      </c>
      <c r="D62" s="32">
        <v>1</v>
      </c>
      <c r="E62" s="32">
        <v>2</v>
      </c>
      <c r="F62" s="32">
        <v>5</v>
      </c>
      <c r="G62" s="32">
        <v>5</v>
      </c>
      <c r="H62" s="33">
        <f t="shared" si="15"/>
        <v>5</v>
      </c>
      <c r="I62" s="34">
        <v>4</v>
      </c>
      <c r="J62" s="35">
        <v>4</v>
      </c>
      <c r="K62" s="36">
        <f t="shared" si="16"/>
        <v>1</v>
      </c>
      <c r="L62" s="37">
        <f t="shared" si="17"/>
        <v>0</v>
      </c>
      <c r="M62" s="38" t="str">
        <f t="shared" si="18"/>
        <v>Driving Force</v>
      </c>
      <c r="N62" s="39" t="str">
        <f t="shared" si="19"/>
        <v>▼ Below Required</v>
      </c>
    </row>
    <row r="63" spans="2:14" ht="18" customHeight="1" x14ac:dyDescent="0.35">
      <c r="B63" s="61" t="s">
        <v>169</v>
      </c>
      <c r="C63" s="62" t="s">
        <v>170</v>
      </c>
      <c r="D63" s="32">
        <v>3</v>
      </c>
      <c r="E63" s="32">
        <v>4</v>
      </c>
      <c r="F63" s="32">
        <v>5</v>
      </c>
      <c r="G63" s="32">
        <v>5</v>
      </c>
      <c r="H63" s="33">
        <f t="shared" si="15"/>
        <v>5</v>
      </c>
      <c r="I63" s="34">
        <v>5</v>
      </c>
      <c r="J63" s="35">
        <v>4</v>
      </c>
      <c r="K63" s="36">
        <f t="shared" si="16"/>
        <v>1</v>
      </c>
      <c r="L63" s="37">
        <f t="shared" si="17"/>
        <v>1</v>
      </c>
      <c r="M63" s="38" t="str">
        <f t="shared" si="18"/>
        <v>Driving Force</v>
      </c>
      <c r="N63" s="39" t="str">
        <f t="shared" si="19"/>
        <v>▼ Below Required</v>
      </c>
    </row>
    <row r="64" spans="2:14" ht="18" customHeight="1" x14ac:dyDescent="0.35">
      <c r="B64" s="61" t="s">
        <v>171</v>
      </c>
      <c r="C64" s="62" t="s">
        <v>172</v>
      </c>
      <c r="D64" s="32">
        <v>3</v>
      </c>
      <c r="E64" s="32">
        <v>4</v>
      </c>
      <c r="F64" s="32">
        <v>5</v>
      </c>
      <c r="G64" s="32">
        <v>5</v>
      </c>
      <c r="H64" s="33">
        <f t="shared" si="15"/>
        <v>5</v>
      </c>
      <c r="I64" s="34">
        <v>2</v>
      </c>
      <c r="J64" s="35">
        <v>4</v>
      </c>
      <c r="K64" s="36">
        <f t="shared" si="16"/>
        <v>1</v>
      </c>
      <c r="L64" s="37">
        <f t="shared" si="17"/>
        <v>-2</v>
      </c>
      <c r="M64" s="38" t="str">
        <f t="shared" si="18"/>
        <v>Driving Force</v>
      </c>
      <c r="N64" s="39" t="str">
        <f t="shared" si="19"/>
        <v>▼ Below Required</v>
      </c>
    </row>
    <row r="65" spans="2:14" ht="18" customHeight="1" x14ac:dyDescent="0.35">
      <c r="B65" s="61" t="s">
        <v>173</v>
      </c>
      <c r="C65" s="62" t="s">
        <v>174</v>
      </c>
      <c r="D65" s="32">
        <v>3</v>
      </c>
      <c r="E65" s="32">
        <v>2</v>
      </c>
      <c r="F65" s="32">
        <v>5</v>
      </c>
      <c r="G65" s="32">
        <v>5</v>
      </c>
      <c r="H65" s="33">
        <f t="shared" si="15"/>
        <v>5</v>
      </c>
      <c r="I65" s="34">
        <v>4</v>
      </c>
      <c r="J65" s="35">
        <v>4</v>
      </c>
      <c r="K65" s="36">
        <f t="shared" si="16"/>
        <v>1</v>
      </c>
      <c r="L65" s="37">
        <f t="shared" si="17"/>
        <v>0</v>
      </c>
      <c r="M65" s="38" t="str">
        <f t="shared" si="18"/>
        <v>Driving Force</v>
      </c>
      <c r="N65" s="39" t="str">
        <f t="shared" si="19"/>
        <v>▼ Below Required</v>
      </c>
    </row>
    <row r="66" spans="2:14" ht="18" customHeight="1" x14ac:dyDescent="0.35">
      <c r="B66" s="61" t="s">
        <v>175</v>
      </c>
      <c r="C66" s="62" t="s">
        <v>176</v>
      </c>
      <c r="D66" s="32">
        <v>3</v>
      </c>
      <c r="E66" s="32">
        <v>2</v>
      </c>
      <c r="F66" s="32">
        <v>5</v>
      </c>
      <c r="G66" s="32">
        <v>5</v>
      </c>
      <c r="H66" s="33">
        <f t="shared" si="15"/>
        <v>5</v>
      </c>
      <c r="I66" s="34">
        <v>3</v>
      </c>
      <c r="J66" s="35">
        <v>4</v>
      </c>
      <c r="K66" s="36">
        <f t="shared" si="16"/>
        <v>1</v>
      </c>
      <c r="L66" s="37">
        <f t="shared" si="17"/>
        <v>-1</v>
      </c>
      <c r="M66" s="38" t="str">
        <f t="shared" si="18"/>
        <v>Driving Force</v>
      </c>
      <c r="N66" s="39" t="str">
        <f t="shared" si="19"/>
        <v>▼ Below Required</v>
      </c>
    </row>
    <row r="67" spans="2:14" ht="18" customHeight="1" x14ac:dyDescent="0.35">
      <c r="B67" s="144" t="s">
        <v>177</v>
      </c>
      <c r="C67" s="144"/>
      <c r="D67" s="144"/>
      <c r="E67" s="144"/>
      <c r="F67" s="144"/>
      <c r="G67" s="144"/>
      <c r="H67" s="63" t="s">
        <v>95</v>
      </c>
      <c r="I67" s="64">
        <f>IFERROR(AVERAGE(I61:I66),"")</f>
        <v>3.5</v>
      </c>
      <c r="J67" s="64">
        <f>IFERROR(AVERAGE(J61:J66),"")</f>
        <v>4</v>
      </c>
      <c r="K67" s="64">
        <f>IFERROR(SUM(K61:K66),"")</f>
        <v>6</v>
      </c>
      <c r="L67" s="64">
        <f>IFERROR(AVERAGE(I61:I66)-AVERAGE(J61:J66),"")</f>
        <v>-0.5</v>
      </c>
      <c r="M67" s="63" t="s">
        <v>96</v>
      </c>
      <c r="N67" s="63" t="s">
        <v>97</v>
      </c>
    </row>
    <row r="69" spans="2:14" ht="19.5" customHeight="1" x14ac:dyDescent="0.35">
      <c r="B69" s="145" t="s">
        <v>178</v>
      </c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</row>
    <row r="70" spans="2:14" ht="18" customHeight="1" x14ac:dyDescent="0.35">
      <c r="B70" s="65" t="s">
        <v>179</v>
      </c>
      <c r="C70" s="66" t="s">
        <v>180</v>
      </c>
      <c r="D70" s="32">
        <v>3</v>
      </c>
      <c r="E70" s="32">
        <v>2</v>
      </c>
      <c r="F70" s="32">
        <v>4</v>
      </c>
      <c r="G70" s="32">
        <v>5</v>
      </c>
      <c r="H70" s="33">
        <f t="shared" ref="H70:H75" si="20">IF($D$5="","",IF($D$5="In-charge / DM",D70,IF($D$5="Manager",E70,IF($D$5="Head",F70,IF($D$5="Chief",G70,"")))))</f>
        <v>5</v>
      </c>
      <c r="I70" s="34">
        <v>4</v>
      </c>
      <c r="J70" s="35">
        <v>3</v>
      </c>
      <c r="K70" s="36">
        <f t="shared" ref="K70:K75" si="21">IF(J70="","",IF(H70="","",H70-J70))</f>
        <v>2</v>
      </c>
      <c r="L70" s="37">
        <f t="shared" ref="L70:L75" si="22">IF(I70="","",IF(J70="","",I70-J70))</f>
        <v>1</v>
      </c>
      <c r="M70" s="38" t="str">
        <f t="shared" ref="M70:M75" si="23">IF(J70="","—",IF(J70&lt;1.5,"Amateur",IF(J70&lt;2.5,"Collaborator",IF(J70&lt;3.5,"Enabler",IF(J70&lt;4.5,"Driving Force","Visionary")))))</f>
        <v>Enabler</v>
      </c>
      <c r="N70" s="39" t="str">
        <f t="shared" ref="N70:N75" si="24">IF(J70="","—",IF(K70&gt;0,"▼ Below Required",IF(K70=0,"✔ At Target","▲ Exceeds Target")))</f>
        <v>▼ Below Required</v>
      </c>
    </row>
    <row r="71" spans="2:14" ht="18" customHeight="1" x14ac:dyDescent="0.35">
      <c r="B71" s="65" t="s">
        <v>181</v>
      </c>
      <c r="C71" s="66" t="s">
        <v>182</v>
      </c>
      <c r="D71" s="32">
        <v>3</v>
      </c>
      <c r="E71" s="32">
        <v>2</v>
      </c>
      <c r="F71" s="32">
        <v>4</v>
      </c>
      <c r="G71" s="32">
        <v>5</v>
      </c>
      <c r="H71" s="33">
        <f t="shared" si="20"/>
        <v>5</v>
      </c>
      <c r="I71" s="34">
        <v>4</v>
      </c>
      <c r="J71" s="35">
        <v>3</v>
      </c>
      <c r="K71" s="36">
        <f t="shared" si="21"/>
        <v>2</v>
      </c>
      <c r="L71" s="37">
        <f t="shared" si="22"/>
        <v>1</v>
      </c>
      <c r="M71" s="38" t="str">
        <f t="shared" si="23"/>
        <v>Enabler</v>
      </c>
      <c r="N71" s="39" t="str">
        <f t="shared" si="24"/>
        <v>▼ Below Required</v>
      </c>
    </row>
    <row r="72" spans="2:14" ht="18" customHeight="1" x14ac:dyDescent="0.35">
      <c r="B72" s="65" t="s">
        <v>183</v>
      </c>
      <c r="C72" s="66" t="s">
        <v>184</v>
      </c>
      <c r="D72" s="32">
        <v>3</v>
      </c>
      <c r="E72" s="32">
        <v>4</v>
      </c>
      <c r="F72" s="32">
        <v>4</v>
      </c>
      <c r="G72" s="32">
        <v>5</v>
      </c>
      <c r="H72" s="33">
        <f t="shared" si="20"/>
        <v>5</v>
      </c>
      <c r="I72" s="34">
        <v>4</v>
      </c>
      <c r="J72" s="35">
        <v>4</v>
      </c>
      <c r="K72" s="36">
        <f t="shared" si="21"/>
        <v>1</v>
      </c>
      <c r="L72" s="37">
        <f t="shared" si="22"/>
        <v>0</v>
      </c>
      <c r="M72" s="38" t="str">
        <f t="shared" si="23"/>
        <v>Driving Force</v>
      </c>
      <c r="N72" s="39" t="str">
        <f t="shared" si="24"/>
        <v>▼ Below Required</v>
      </c>
    </row>
    <row r="73" spans="2:14" ht="18" customHeight="1" x14ac:dyDescent="0.35">
      <c r="B73" s="65" t="s">
        <v>185</v>
      </c>
      <c r="C73" s="66" t="s">
        <v>186</v>
      </c>
      <c r="D73" s="32">
        <v>3</v>
      </c>
      <c r="E73" s="32">
        <v>2</v>
      </c>
      <c r="F73" s="32">
        <v>4</v>
      </c>
      <c r="G73" s="32">
        <v>5</v>
      </c>
      <c r="H73" s="33">
        <f t="shared" si="20"/>
        <v>5</v>
      </c>
      <c r="I73" s="34">
        <v>4</v>
      </c>
      <c r="J73" s="35">
        <v>3</v>
      </c>
      <c r="K73" s="36">
        <f t="shared" si="21"/>
        <v>2</v>
      </c>
      <c r="L73" s="37">
        <f t="shared" si="22"/>
        <v>1</v>
      </c>
      <c r="M73" s="38" t="str">
        <f t="shared" si="23"/>
        <v>Enabler</v>
      </c>
      <c r="N73" s="39" t="str">
        <f t="shared" si="24"/>
        <v>▼ Below Required</v>
      </c>
    </row>
    <row r="74" spans="2:14" ht="18" customHeight="1" x14ac:dyDescent="0.35">
      <c r="B74" s="65" t="s">
        <v>187</v>
      </c>
      <c r="C74" s="66" t="s">
        <v>188</v>
      </c>
      <c r="D74" s="32">
        <v>3</v>
      </c>
      <c r="E74" s="32">
        <v>4</v>
      </c>
      <c r="F74" s="32">
        <v>5</v>
      </c>
      <c r="G74" s="32">
        <v>5</v>
      </c>
      <c r="H74" s="33">
        <f t="shared" si="20"/>
        <v>5</v>
      </c>
      <c r="I74" s="34">
        <v>4</v>
      </c>
      <c r="J74" s="35">
        <v>4</v>
      </c>
      <c r="K74" s="36">
        <f t="shared" si="21"/>
        <v>1</v>
      </c>
      <c r="L74" s="37">
        <f t="shared" si="22"/>
        <v>0</v>
      </c>
      <c r="M74" s="38" t="str">
        <f t="shared" si="23"/>
        <v>Driving Force</v>
      </c>
      <c r="N74" s="39" t="str">
        <f t="shared" si="24"/>
        <v>▼ Below Required</v>
      </c>
    </row>
    <row r="75" spans="2:14" ht="18" customHeight="1" x14ac:dyDescent="0.35">
      <c r="B75" s="65" t="s">
        <v>189</v>
      </c>
      <c r="C75" s="66" t="s">
        <v>190</v>
      </c>
      <c r="D75" s="32">
        <v>3</v>
      </c>
      <c r="E75" s="32">
        <v>4</v>
      </c>
      <c r="F75" s="32">
        <v>5</v>
      </c>
      <c r="G75" s="32">
        <v>5</v>
      </c>
      <c r="H75" s="33">
        <f t="shared" si="20"/>
        <v>5</v>
      </c>
      <c r="I75" s="34">
        <v>4</v>
      </c>
      <c r="J75" s="35">
        <v>3</v>
      </c>
      <c r="K75" s="36">
        <f t="shared" si="21"/>
        <v>2</v>
      </c>
      <c r="L75" s="37">
        <f t="shared" si="22"/>
        <v>1</v>
      </c>
      <c r="M75" s="38" t="str">
        <f t="shared" si="23"/>
        <v>Enabler</v>
      </c>
      <c r="N75" s="39" t="str">
        <f t="shared" si="24"/>
        <v>▼ Below Required</v>
      </c>
    </row>
    <row r="76" spans="2:14" ht="18" customHeight="1" x14ac:dyDescent="0.35">
      <c r="B76" s="146" t="s">
        <v>191</v>
      </c>
      <c r="C76" s="146"/>
      <c r="D76" s="146"/>
      <c r="E76" s="146"/>
      <c r="F76" s="146"/>
      <c r="G76" s="146"/>
      <c r="H76" s="67" t="s">
        <v>95</v>
      </c>
      <c r="I76" s="68">
        <f>IFERROR(AVERAGE(I70:I75),"")</f>
        <v>4</v>
      </c>
      <c r="J76" s="68">
        <f>IFERROR(AVERAGE(J70:J75),"")</f>
        <v>3.3333333333333335</v>
      </c>
      <c r="K76" s="68">
        <f>IFERROR(SUM(K70:K75),"")</f>
        <v>10</v>
      </c>
      <c r="L76" s="68">
        <f>IFERROR(AVERAGE(I70:I75)-AVERAGE(J70:J75),"")</f>
        <v>0.66666666666666652</v>
      </c>
      <c r="M76" s="67" t="s">
        <v>96</v>
      </c>
      <c r="N76" s="67" t="s">
        <v>97</v>
      </c>
    </row>
    <row r="77" spans="2:14" ht="12.75" customHeight="1" x14ac:dyDescent="0.35">
      <c r="H77" s="69" t="s">
        <v>192</v>
      </c>
      <c r="I77" s="69" t="s">
        <v>193</v>
      </c>
      <c r="J77" s="69" t="s">
        <v>194</v>
      </c>
      <c r="K77" s="70" t="s">
        <v>195</v>
      </c>
      <c r="L77" s="69" t="s">
        <v>196</v>
      </c>
      <c r="M77" s="69" t="s">
        <v>36</v>
      </c>
      <c r="N77" s="69" t="s">
        <v>197</v>
      </c>
    </row>
    <row r="78" spans="2:14" ht="30" customHeight="1" x14ac:dyDescent="0.35">
      <c r="B78" s="147" t="s">
        <v>198</v>
      </c>
      <c r="C78" s="147"/>
      <c r="D78" s="147"/>
      <c r="E78" s="147"/>
      <c r="F78" s="147"/>
      <c r="G78" s="147"/>
      <c r="I78" s="71">
        <f>IFERROR((I15+I24+I32+I40+I49+I58+I67+I76)/8,"")</f>
        <v>3.5708333333333333</v>
      </c>
      <c r="J78" s="72">
        <f>IFERROR((J15+J24+J32+J40+J49+J58+J67+J76)/8,"")</f>
        <v>3.3125</v>
      </c>
      <c r="K78" s="73">
        <f>IFERROR(AVERAGE(K10:K14,K18:K23,K27:K31,K35:K39,K43:K48,K52:K57,K61:K66,K70:K75),"")</f>
        <v>1.6222222222222222</v>
      </c>
      <c r="L78" s="74">
        <f>IFERROR(I78-J78,"")</f>
        <v>0.2583333333333333</v>
      </c>
      <c r="M78" s="75" t="str">
        <f>IF(K78="","—",IF(K78=0,"🟢 Strong",IF(K78&lt;=1,"🟡 Developing",IF(K78&lt;=2,"🟠 Needs Focus","🔴 Critical"))))</f>
        <v>🟠 Needs Focus</v>
      </c>
      <c r="N78" s="76">
        <f>IFERROR(K78/4*100,"")</f>
        <v>40.555555555555557</v>
      </c>
    </row>
    <row r="80" spans="2:14" ht="19.5" customHeight="1" x14ac:dyDescent="0.35">
      <c r="B80" s="132" t="s">
        <v>199</v>
      </c>
      <c r="C80" s="132"/>
      <c r="D80" s="132"/>
      <c r="E80" s="132"/>
      <c r="F80" s="132"/>
      <c r="G80" s="132"/>
      <c r="H80" s="47" t="s">
        <v>194</v>
      </c>
      <c r="I80" s="43" t="s">
        <v>193</v>
      </c>
      <c r="J80" s="33" t="s">
        <v>200</v>
      </c>
      <c r="K80" s="24" t="s">
        <v>201</v>
      </c>
    </row>
    <row r="81" spans="2:11" ht="14.25" customHeight="1" x14ac:dyDescent="0.35">
      <c r="B81" s="148" t="s">
        <v>202</v>
      </c>
      <c r="C81" s="148"/>
      <c r="D81" s="148"/>
      <c r="E81" s="148"/>
      <c r="F81" s="148"/>
      <c r="G81" s="148"/>
      <c r="H81" s="77">
        <f>IFERROR(J15,0)</f>
        <v>3.2</v>
      </c>
      <c r="I81" s="77">
        <f>IFERROR(I15,0)</f>
        <v>3.8</v>
      </c>
      <c r="J81" s="77">
        <f>IFERROR(AVERAGE(H10:H14),0)</f>
        <v>5</v>
      </c>
      <c r="K81" s="77">
        <f t="shared" ref="K81:K88" si="25">IFERROR(J81-H81,"")</f>
        <v>1.7999999999999998</v>
      </c>
    </row>
    <row r="82" spans="2:11" ht="14.25" customHeight="1" x14ac:dyDescent="0.35">
      <c r="B82" s="148" t="s">
        <v>203</v>
      </c>
      <c r="C82" s="148"/>
      <c r="D82" s="148"/>
      <c r="E82" s="148"/>
      <c r="F82" s="148"/>
      <c r="G82" s="148"/>
      <c r="H82" s="77">
        <f>IFERROR(J24,0)</f>
        <v>3.1666666666666665</v>
      </c>
      <c r="I82" s="77">
        <f>IFERROR(I24,0)</f>
        <v>3.5</v>
      </c>
      <c r="J82" s="77">
        <f>IFERROR(AVERAGE(H18:H23),0)</f>
        <v>4.833333333333333</v>
      </c>
      <c r="K82" s="77">
        <f t="shared" si="25"/>
        <v>1.6666666666666665</v>
      </c>
    </row>
    <row r="83" spans="2:11" ht="14.25" customHeight="1" x14ac:dyDescent="0.35">
      <c r="B83" s="148" t="s">
        <v>204</v>
      </c>
      <c r="C83" s="148"/>
      <c r="D83" s="148"/>
      <c r="E83" s="148"/>
      <c r="F83" s="148"/>
      <c r="G83" s="148"/>
      <c r="H83" s="77">
        <f>IFERROR(J32,0)</f>
        <v>2.8</v>
      </c>
      <c r="I83" s="77">
        <f>IFERROR(I32,0)</f>
        <v>3.6</v>
      </c>
      <c r="J83" s="77">
        <f>IFERROR(AVERAGE(H27:H31),0)</f>
        <v>4.8</v>
      </c>
      <c r="K83" s="77">
        <f t="shared" si="25"/>
        <v>2</v>
      </c>
    </row>
    <row r="84" spans="2:11" ht="14.25" customHeight="1" x14ac:dyDescent="0.35">
      <c r="B84" s="148" t="s">
        <v>205</v>
      </c>
      <c r="C84" s="148"/>
      <c r="D84" s="148"/>
      <c r="E84" s="148"/>
      <c r="F84" s="148"/>
      <c r="G84" s="148"/>
      <c r="H84" s="77">
        <f>IFERROR(J40,0)</f>
        <v>3</v>
      </c>
      <c r="I84" s="77">
        <f>IFERROR(I40,0)</f>
        <v>3</v>
      </c>
      <c r="J84" s="77">
        <f>IFERROR(AVERAGE(H35:H39),0)</f>
        <v>5</v>
      </c>
      <c r="K84" s="77">
        <f t="shared" si="25"/>
        <v>2</v>
      </c>
    </row>
    <row r="85" spans="2:11" ht="14.25" customHeight="1" x14ac:dyDescent="0.35">
      <c r="B85" s="148" t="s">
        <v>206</v>
      </c>
      <c r="C85" s="148"/>
      <c r="D85" s="148"/>
      <c r="E85" s="148"/>
      <c r="F85" s="148"/>
      <c r="G85" s="148"/>
      <c r="H85" s="77">
        <f>IFERROR(J49,0)</f>
        <v>4</v>
      </c>
      <c r="I85" s="77">
        <f>IFERROR(I49,0)</f>
        <v>4</v>
      </c>
      <c r="J85" s="77">
        <f>IFERROR(AVERAGE(H43:H48),0)</f>
        <v>5</v>
      </c>
      <c r="K85" s="77">
        <f t="shared" si="25"/>
        <v>1</v>
      </c>
    </row>
    <row r="86" spans="2:11" ht="14.25" customHeight="1" x14ac:dyDescent="0.35">
      <c r="B86" s="148" t="s">
        <v>207</v>
      </c>
      <c r="C86" s="148"/>
      <c r="D86" s="148"/>
      <c r="E86" s="148"/>
      <c r="F86" s="148"/>
      <c r="G86" s="148"/>
      <c r="H86" s="77">
        <f>IFERROR(J58,0)</f>
        <v>3</v>
      </c>
      <c r="I86" s="77">
        <f>IFERROR(I58,0)</f>
        <v>3.1666666666666665</v>
      </c>
      <c r="J86" s="77">
        <f>IFERROR(AVERAGE(H52:H57),0)</f>
        <v>5</v>
      </c>
      <c r="K86" s="77">
        <f t="shared" si="25"/>
        <v>2</v>
      </c>
    </row>
    <row r="87" spans="2:11" ht="14.25" customHeight="1" x14ac:dyDescent="0.35">
      <c r="B87" s="148" t="s">
        <v>208</v>
      </c>
      <c r="C87" s="148"/>
      <c r="D87" s="148"/>
      <c r="E87" s="148"/>
      <c r="F87" s="148"/>
      <c r="G87" s="148"/>
      <c r="H87" s="77">
        <f>IFERROR(J67,0)</f>
        <v>4</v>
      </c>
      <c r="I87" s="77">
        <f>IFERROR(I67,0)</f>
        <v>3.5</v>
      </c>
      <c r="J87" s="77">
        <f>IFERROR(AVERAGE(H61:H66),0)</f>
        <v>5</v>
      </c>
      <c r="K87" s="77">
        <f t="shared" si="25"/>
        <v>1</v>
      </c>
    </row>
    <row r="88" spans="2:11" ht="14.25" customHeight="1" x14ac:dyDescent="0.35">
      <c r="B88" s="148" t="s">
        <v>209</v>
      </c>
      <c r="C88" s="148"/>
      <c r="D88" s="148"/>
      <c r="E88" s="148"/>
      <c r="F88" s="148"/>
      <c r="G88" s="148"/>
      <c r="H88" s="77">
        <f>IFERROR(J76,0)</f>
        <v>3.3333333333333335</v>
      </c>
      <c r="I88" s="77">
        <f>IFERROR(I76,0)</f>
        <v>4</v>
      </c>
      <c r="J88" s="77">
        <f>IFERROR(AVERAGE(H70:H75),0)</f>
        <v>5</v>
      </c>
      <c r="K88" s="77">
        <f t="shared" si="25"/>
        <v>1.6666666666666665</v>
      </c>
    </row>
  </sheetData>
  <mergeCells count="38">
    <mergeCell ref="B88:G88"/>
    <mergeCell ref="B83:G83"/>
    <mergeCell ref="B84:G84"/>
    <mergeCell ref="B85:G85"/>
    <mergeCell ref="B86:G86"/>
    <mergeCell ref="B87:G87"/>
    <mergeCell ref="B76:G76"/>
    <mergeCell ref="B78:G78"/>
    <mergeCell ref="B80:G80"/>
    <mergeCell ref="B81:G81"/>
    <mergeCell ref="B82:G82"/>
    <mergeCell ref="B51:N51"/>
    <mergeCell ref="B58:G58"/>
    <mergeCell ref="B60:N60"/>
    <mergeCell ref="B67:G67"/>
    <mergeCell ref="B69:N69"/>
    <mergeCell ref="B32:G32"/>
    <mergeCell ref="B34:N34"/>
    <mergeCell ref="B40:G40"/>
    <mergeCell ref="B42:N42"/>
    <mergeCell ref="B49:G49"/>
    <mergeCell ref="B9:N9"/>
    <mergeCell ref="B15:G15"/>
    <mergeCell ref="B17:N17"/>
    <mergeCell ref="B24:G24"/>
    <mergeCell ref="B26:N26"/>
    <mergeCell ref="D5:E5"/>
    <mergeCell ref="G5:H5"/>
    <mergeCell ref="J5:K5"/>
    <mergeCell ref="M5:N5"/>
    <mergeCell ref="D6:E6"/>
    <mergeCell ref="G6:H6"/>
    <mergeCell ref="J6:K6"/>
    <mergeCell ref="A1:N1"/>
    <mergeCell ref="A2:N2"/>
    <mergeCell ref="D4:H4"/>
    <mergeCell ref="J4:K4"/>
    <mergeCell ref="M4:N4"/>
  </mergeCells>
  <conditionalFormatting sqref="K9:K78">
    <cfRule type="cellIs" dxfId="10" priority="2" operator="greaterThan">
      <formula>0</formula>
    </cfRule>
    <cfRule type="cellIs" dxfId="9" priority="3" operator="equal">
      <formula>0</formula>
    </cfRule>
    <cfRule type="cellIs" dxfId="8" priority="4" operator="lessThan">
      <formula>0</formula>
    </cfRule>
  </conditionalFormatting>
  <conditionalFormatting sqref="L9:L78">
    <cfRule type="cellIs" dxfId="7" priority="5" operator="greaterThan">
      <formula>0.5</formula>
    </cfRule>
    <cfRule type="cellIs" dxfId="6" priority="6" operator="lessThan">
      <formula>-0.5</formula>
    </cfRule>
  </conditionalFormatting>
  <conditionalFormatting sqref="N9:N78">
    <cfRule type="expression" dxfId="5" priority="7">
      <formula>N9="▼ Below Required"</formula>
    </cfRule>
    <cfRule type="expression" dxfId="4" priority="8">
      <formula>N9="✔ At Target"</formula>
    </cfRule>
    <cfRule type="expression" dxfId="3" priority="9">
      <formula>N9="▲ Exceeds Target"</formula>
    </cfRule>
  </conditionalFormatting>
  <dataValidations count="4">
    <dataValidation type="list" allowBlank="1" sqref="D5" xr:uid="{00000000-0002-0000-0100-000000000000}">
      <formula1>"In-charge / DM,Manager,Head,Chief"</formula1>
      <formula2>0</formula2>
    </dataValidation>
    <dataValidation type="list" allowBlank="1" sqref="G5" xr:uid="{00000000-0002-0000-0100-000001000000}">
      <formula1>"ISD,IP,EPC,Corporate,Cluster,Construction"</formula1>
      <formula2>0</formula2>
    </dataValidation>
    <dataValidation type="decimal" allowBlank="1" promptTitle="Self-Rating" prompt="Rate yourself 1–5" sqref="I10:I14 I18:I23 I27:I31 I35:I39 I43:I48 I52:I57 I61:I66 I70:I75" xr:uid="{00000000-0002-0000-0100-000002000000}">
      <formula1>1</formula1>
      <formula2>5</formula2>
    </dataValidation>
    <dataValidation type="decimal" allowBlank="1" promptTitle="LM Rating" prompt="Rate employee 1–5" sqref="J10:J14 J18:J23 J27:J31 J35:J39 J43:J48 J52:J57 J61:J66 J70:J75" xr:uid="{00000000-0002-0000-0100-000003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4"/>
  <sheetViews>
    <sheetView showGridLines="0" zoomScaleNormal="100" workbookViewId="0">
      <selection activeCell="F32" sqref="F32"/>
    </sheetView>
  </sheetViews>
  <sheetFormatPr defaultColWidth="8.6328125" defaultRowHeight="14.5" x14ac:dyDescent="0.35"/>
  <cols>
    <col min="1" max="1" width="2" customWidth="1"/>
    <col min="2" max="2" width="4" customWidth="1"/>
    <col min="3" max="3" width="20" customWidth="1"/>
    <col min="4" max="4" width="16" customWidth="1"/>
    <col min="5" max="14" width="14" customWidth="1"/>
    <col min="15" max="16" width="11" customWidth="1"/>
    <col min="17" max="17" width="9" customWidth="1"/>
    <col min="18" max="18" width="13" customWidth="1"/>
    <col min="19" max="19" width="12" customWidth="1"/>
  </cols>
  <sheetData>
    <row r="1" spans="1:24" ht="27.75" customHeight="1" x14ac:dyDescent="0.35">
      <c r="A1" s="169" t="s">
        <v>210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</row>
    <row r="2" spans="1:24" ht="18" customHeight="1" x14ac:dyDescent="0.35">
      <c r="A2" s="170" t="s">
        <v>211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</row>
    <row r="3" spans="1:24" ht="7.5" customHeight="1" x14ac:dyDescent="0.35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</row>
    <row r="4" spans="1:24" ht="42" customHeight="1" x14ac:dyDescent="0.35">
      <c r="A4" s="78"/>
      <c r="B4" s="79" t="s">
        <v>68</v>
      </c>
      <c r="C4" s="79" t="s">
        <v>212</v>
      </c>
      <c r="D4" s="79" t="s">
        <v>213</v>
      </c>
      <c r="E4" s="79" t="s">
        <v>214</v>
      </c>
      <c r="F4" s="79" t="s">
        <v>215</v>
      </c>
      <c r="G4" s="79" t="s">
        <v>216</v>
      </c>
      <c r="H4" s="79" t="s">
        <v>217</v>
      </c>
      <c r="I4" s="79" t="s">
        <v>218</v>
      </c>
      <c r="J4" s="79" t="s">
        <v>80</v>
      </c>
      <c r="K4" s="79" t="s">
        <v>219</v>
      </c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</row>
    <row r="5" spans="1:24" ht="18" customHeight="1" x14ac:dyDescent="0.35">
      <c r="A5" s="78"/>
      <c r="B5" s="80">
        <v>1</v>
      </c>
      <c r="C5" s="80" t="s">
        <v>220</v>
      </c>
      <c r="D5" s="81" t="s">
        <v>221</v>
      </c>
      <c r="E5" s="81" t="s">
        <v>222</v>
      </c>
      <c r="F5" s="80"/>
      <c r="G5" s="81">
        <v>3.8</v>
      </c>
      <c r="H5" s="81">
        <v>3.1</v>
      </c>
      <c r="I5" s="81">
        <f t="shared" ref="I5:I14" si="0">IFERROR(ROUND(G5-H5,1),"")</f>
        <v>0.7</v>
      </c>
      <c r="J5" s="82" t="str">
        <f t="shared" ref="J5:J14" si="1">IF(I5="","—",IF(I5&lt;=0,"🟢 No Gap",IF(I5&lt;=1,"🟡 Developing",IF(I5&lt;=2,"🟠 Needs Focus","🔴 Critical"))))</f>
        <v>🟡 Developing</v>
      </c>
      <c r="K5" s="83" t="str">
        <f t="shared" ref="K5:K14" si="2">IF(J5="🟢 No Gap","No Action Needed",IF(J5="🟡 Developing","Targeted Dev Plan",IF(J5="🟠 Needs Focus","Structured Dev Plan",IF(J5="🔴 Critical","Urgent Intervention","—"))))</f>
        <v>Targeted Dev Plan</v>
      </c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</row>
    <row r="6" spans="1:24" ht="18" customHeight="1" x14ac:dyDescent="0.35">
      <c r="A6" s="78"/>
      <c r="B6" s="84">
        <v>2</v>
      </c>
      <c r="C6" s="84" t="s">
        <v>223</v>
      </c>
      <c r="D6" s="85" t="s">
        <v>61</v>
      </c>
      <c r="E6" s="85" t="s">
        <v>224</v>
      </c>
      <c r="F6" s="84"/>
      <c r="G6" s="85">
        <v>4.2</v>
      </c>
      <c r="H6" s="85">
        <v>4.2</v>
      </c>
      <c r="I6" s="85">
        <f t="shared" si="0"/>
        <v>0</v>
      </c>
      <c r="J6" s="86" t="str">
        <f t="shared" si="1"/>
        <v>🟢 No Gap</v>
      </c>
      <c r="K6" s="86" t="str">
        <f t="shared" si="2"/>
        <v>No Action Needed</v>
      </c>
      <c r="L6" s="87"/>
      <c r="M6" s="87"/>
      <c r="N6" s="87"/>
      <c r="O6" s="87"/>
      <c r="P6" s="87"/>
      <c r="Q6" s="88"/>
      <c r="R6" s="78"/>
      <c r="S6" s="78"/>
      <c r="T6" s="78"/>
      <c r="U6" s="78"/>
      <c r="V6" s="78"/>
      <c r="W6" s="78"/>
      <c r="X6" s="78"/>
    </row>
    <row r="7" spans="1:24" ht="18" customHeight="1" x14ac:dyDescent="0.35">
      <c r="A7" s="78"/>
      <c r="B7" s="80">
        <v>3</v>
      </c>
      <c r="C7" s="80" t="s">
        <v>225</v>
      </c>
      <c r="D7" s="81" t="s">
        <v>226</v>
      </c>
      <c r="E7" s="81" t="s">
        <v>227</v>
      </c>
      <c r="F7" s="80"/>
      <c r="G7" s="81">
        <v>3</v>
      </c>
      <c r="H7" s="81">
        <v>1</v>
      </c>
      <c r="I7" s="81">
        <f t="shared" si="0"/>
        <v>2</v>
      </c>
      <c r="J7" s="89" t="str">
        <f t="shared" si="1"/>
        <v>🟠 Needs Focus</v>
      </c>
      <c r="K7" s="86" t="str">
        <f t="shared" si="2"/>
        <v>Structured Dev Plan</v>
      </c>
      <c r="L7" s="87"/>
      <c r="M7" s="87"/>
      <c r="N7" s="87"/>
      <c r="O7" s="87"/>
      <c r="P7" s="87"/>
      <c r="Q7" s="88"/>
      <c r="R7" s="78"/>
      <c r="S7" s="78"/>
      <c r="T7" s="78"/>
      <c r="U7" s="78"/>
      <c r="V7" s="78"/>
      <c r="W7" s="78"/>
      <c r="X7" s="78"/>
    </row>
    <row r="8" spans="1:24" ht="18" customHeight="1" x14ac:dyDescent="0.35">
      <c r="A8" s="78"/>
      <c r="B8" s="84">
        <v>4</v>
      </c>
      <c r="C8" s="84" t="s">
        <v>228</v>
      </c>
      <c r="D8" s="85" t="s">
        <v>229</v>
      </c>
      <c r="E8" s="85" t="s">
        <v>230</v>
      </c>
      <c r="F8" s="84"/>
      <c r="G8" s="85">
        <v>4.5</v>
      </c>
      <c r="H8" s="85">
        <v>4.5</v>
      </c>
      <c r="I8" s="85">
        <f t="shared" si="0"/>
        <v>0</v>
      </c>
      <c r="J8" s="86" t="str">
        <f t="shared" si="1"/>
        <v>🟢 No Gap</v>
      </c>
      <c r="K8" s="86" t="str">
        <f t="shared" si="2"/>
        <v>No Action Needed</v>
      </c>
      <c r="L8" s="87"/>
      <c r="M8" s="87"/>
      <c r="N8" s="87"/>
      <c r="O8" s="87"/>
      <c r="P8" s="87"/>
      <c r="Q8" s="88"/>
      <c r="R8" s="78"/>
      <c r="S8" s="78"/>
      <c r="T8" s="78"/>
      <c r="U8" s="78"/>
      <c r="V8" s="78"/>
      <c r="W8" s="78"/>
      <c r="X8" s="78"/>
    </row>
    <row r="9" spans="1:24" ht="18" customHeight="1" x14ac:dyDescent="0.35">
      <c r="A9" s="78"/>
      <c r="B9" s="80">
        <v>5</v>
      </c>
      <c r="C9" s="80" t="s">
        <v>231</v>
      </c>
      <c r="D9" s="81" t="s">
        <v>226</v>
      </c>
      <c r="E9" s="81" t="s">
        <v>232</v>
      </c>
      <c r="F9" s="80"/>
      <c r="G9" s="81">
        <v>3</v>
      </c>
      <c r="H9" s="81">
        <v>1.6</v>
      </c>
      <c r="I9" s="81">
        <f t="shared" si="0"/>
        <v>1.4</v>
      </c>
      <c r="J9" s="89" t="str">
        <f t="shared" si="1"/>
        <v>🟠 Needs Focus</v>
      </c>
      <c r="K9" s="86" t="str">
        <f t="shared" si="2"/>
        <v>Structured Dev Plan</v>
      </c>
      <c r="L9" s="87"/>
      <c r="M9" s="87"/>
      <c r="N9" s="87"/>
      <c r="O9" s="87"/>
      <c r="P9" s="87"/>
      <c r="Q9" s="88"/>
      <c r="R9" s="78"/>
      <c r="S9" s="78"/>
      <c r="T9" s="78"/>
      <c r="U9" s="78"/>
      <c r="V9" s="78"/>
      <c r="W9" s="78"/>
      <c r="X9" s="78"/>
    </row>
    <row r="10" spans="1:24" ht="18" customHeight="1" x14ac:dyDescent="0.35">
      <c r="A10" s="78"/>
      <c r="B10" s="84">
        <v>6</v>
      </c>
      <c r="C10" s="84" t="s">
        <v>233</v>
      </c>
      <c r="D10" s="85" t="s">
        <v>61</v>
      </c>
      <c r="E10" s="85" t="s">
        <v>234</v>
      </c>
      <c r="F10" s="84"/>
      <c r="G10" s="85">
        <v>4.2</v>
      </c>
      <c r="H10" s="85">
        <v>3.4</v>
      </c>
      <c r="I10" s="85">
        <f t="shared" si="0"/>
        <v>0.8</v>
      </c>
      <c r="J10" s="90" t="str">
        <f t="shared" si="1"/>
        <v>🟡 Developing</v>
      </c>
      <c r="K10" s="86" t="str">
        <f t="shared" si="2"/>
        <v>Targeted Dev Plan</v>
      </c>
      <c r="L10" s="87"/>
      <c r="M10" s="87"/>
      <c r="N10" s="87"/>
      <c r="O10" s="87"/>
      <c r="P10" s="87"/>
      <c r="Q10" s="88"/>
      <c r="R10" s="78"/>
      <c r="S10" s="78"/>
      <c r="T10" s="78"/>
      <c r="U10" s="78"/>
      <c r="V10" s="78"/>
      <c r="W10" s="78"/>
      <c r="X10" s="78"/>
    </row>
    <row r="11" spans="1:24" ht="18" customHeight="1" x14ac:dyDescent="0.35">
      <c r="A11" s="78"/>
      <c r="B11" s="80">
        <v>7</v>
      </c>
      <c r="C11" s="80" t="s">
        <v>235</v>
      </c>
      <c r="D11" s="81" t="s">
        <v>221</v>
      </c>
      <c r="E11" s="81" t="s">
        <v>222</v>
      </c>
      <c r="F11" s="80"/>
      <c r="G11" s="81">
        <v>3.8</v>
      </c>
      <c r="H11" s="81">
        <v>1.5</v>
      </c>
      <c r="I11" s="81">
        <f t="shared" si="0"/>
        <v>2.2999999999999998</v>
      </c>
      <c r="J11" s="91" t="str">
        <f t="shared" si="1"/>
        <v>🔴 Critical</v>
      </c>
      <c r="K11" s="86" t="str">
        <f t="shared" si="2"/>
        <v>Urgent Intervention</v>
      </c>
      <c r="L11" s="87"/>
      <c r="M11" s="87"/>
      <c r="N11" s="87"/>
      <c r="O11" s="87"/>
      <c r="P11" s="87"/>
      <c r="Q11" s="88"/>
      <c r="R11" s="78"/>
      <c r="S11" s="78"/>
      <c r="T11" s="78"/>
      <c r="U11" s="78"/>
      <c r="V11" s="78"/>
      <c r="W11" s="78"/>
      <c r="X11" s="78"/>
    </row>
    <row r="12" spans="1:24" ht="18" customHeight="1" x14ac:dyDescent="0.35">
      <c r="A12" s="78"/>
      <c r="B12" s="84">
        <v>8</v>
      </c>
      <c r="C12" s="84" t="s">
        <v>236</v>
      </c>
      <c r="D12" s="85" t="s">
        <v>229</v>
      </c>
      <c r="E12" s="85" t="s">
        <v>224</v>
      </c>
      <c r="F12" s="84"/>
      <c r="G12" s="85">
        <v>4.5</v>
      </c>
      <c r="H12" s="85">
        <v>4.5999999999999996</v>
      </c>
      <c r="I12" s="85">
        <f t="shared" si="0"/>
        <v>-0.1</v>
      </c>
      <c r="J12" s="86" t="str">
        <f t="shared" si="1"/>
        <v>🟢 No Gap</v>
      </c>
      <c r="K12" s="86" t="str">
        <f t="shared" si="2"/>
        <v>No Action Needed</v>
      </c>
      <c r="L12" s="87"/>
      <c r="M12" s="87"/>
      <c r="N12" s="87"/>
      <c r="O12" s="87"/>
      <c r="P12" s="87"/>
      <c r="Q12" s="88"/>
      <c r="R12" s="78"/>
      <c r="S12" s="78"/>
      <c r="T12" s="78"/>
      <c r="U12" s="78"/>
      <c r="V12" s="78"/>
      <c r="W12" s="78"/>
      <c r="X12" s="78"/>
    </row>
    <row r="13" spans="1:24" ht="18" customHeight="1" x14ac:dyDescent="0.35">
      <c r="A13" s="78"/>
      <c r="B13" s="80">
        <v>9</v>
      </c>
      <c r="C13" s="80" t="s">
        <v>237</v>
      </c>
      <c r="D13" s="81" t="s">
        <v>221</v>
      </c>
      <c r="E13" s="81" t="s">
        <v>227</v>
      </c>
      <c r="F13" s="80"/>
      <c r="G13" s="81">
        <v>3.8</v>
      </c>
      <c r="H13" s="81">
        <v>2.4</v>
      </c>
      <c r="I13" s="81">
        <f t="shared" si="0"/>
        <v>1.4</v>
      </c>
      <c r="J13" s="89" t="str">
        <f t="shared" si="1"/>
        <v>🟠 Needs Focus</v>
      </c>
      <c r="K13" s="86" t="str">
        <f t="shared" si="2"/>
        <v>Structured Dev Plan</v>
      </c>
      <c r="L13" s="87"/>
      <c r="M13" s="87"/>
      <c r="N13" s="87"/>
      <c r="O13" s="87"/>
      <c r="P13" s="87"/>
      <c r="Q13" s="88"/>
      <c r="R13" s="78"/>
      <c r="S13" s="78"/>
      <c r="T13" s="78"/>
      <c r="U13" s="78"/>
      <c r="V13" s="78"/>
      <c r="W13" s="78"/>
      <c r="X13" s="78"/>
    </row>
    <row r="14" spans="1:24" ht="18" customHeight="1" x14ac:dyDescent="0.35">
      <c r="A14" s="78"/>
      <c r="B14" s="84">
        <v>10</v>
      </c>
      <c r="C14" s="84" t="s">
        <v>238</v>
      </c>
      <c r="D14" s="85" t="s">
        <v>61</v>
      </c>
      <c r="E14" s="85" t="s">
        <v>230</v>
      </c>
      <c r="F14" s="84"/>
      <c r="G14" s="85">
        <v>4.2</v>
      </c>
      <c r="H14" s="85">
        <v>3.5</v>
      </c>
      <c r="I14" s="85">
        <f t="shared" si="0"/>
        <v>0.7</v>
      </c>
      <c r="J14" s="90" t="str">
        <f t="shared" si="1"/>
        <v>🟡 Developing</v>
      </c>
      <c r="K14" s="86" t="str">
        <f t="shared" si="2"/>
        <v>Targeted Dev Plan</v>
      </c>
      <c r="L14" s="87"/>
      <c r="M14" s="87"/>
      <c r="N14" s="87"/>
      <c r="O14" s="87"/>
      <c r="P14" s="87"/>
      <c r="Q14" s="88"/>
      <c r="R14" s="78"/>
      <c r="S14" s="78"/>
      <c r="T14" s="78"/>
      <c r="U14" s="78"/>
      <c r="V14" s="78"/>
      <c r="W14" s="78"/>
      <c r="X14" s="78"/>
    </row>
    <row r="15" spans="1:24" ht="19.5" customHeight="1" x14ac:dyDescent="0.35">
      <c r="A15" s="78"/>
      <c r="B15" s="78"/>
      <c r="C15" s="78"/>
      <c r="D15" s="78"/>
      <c r="E15" s="78"/>
      <c r="F15" s="78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8"/>
      <c r="R15" s="78"/>
      <c r="S15" s="78"/>
      <c r="T15" s="78"/>
      <c r="U15" s="78"/>
      <c r="V15" s="78"/>
      <c r="W15" s="78"/>
      <c r="X15" s="78"/>
    </row>
    <row r="16" spans="1:24" ht="21.75" customHeight="1" x14ac:dyDescent="0.35">
      <c r="A16" s="78"/>
      <c r="B16" s="92" t="s">
        <v>239</v>
      </c>
      <c r="C16" s="92"/>
      <c r="D16" s="92"/>
      <c r="E16" s="92"/>
      <c r="F16" s="92"/>
      <c r="G16" s="93">
        <f>ROUND(AVERAGE(G5:G14),1)</f>
        <v>3.9</v>
      </c>
      <c r="H16" s="93">
        <f>ROUND(AVERAGE(H5:H14),1)</f>
        <v>3</v>
      </c>
      <c r="I16" s="93">
        <f>IFERROR(ROUND(G16-H16,1),"")</f>
        <v>0.9</v>
      </c>
      <c r="J16" s="94" t="str">
        <f>IF(I16&lt;=0,"🟢 No Gap",IF(I16&lt;=1,"🟡 Developing",IF(I16&lt;=2,"🟠 Needs Focus","🔴 Critical")))</f>
        <v>🟡 Developing</v>
      </c>
      <c r="K16" s="95"/>
      <c r="L16" s="87"/>
      <c r="M16" s="87"/>
      <c r="N16" s="87"/>
      <c r="O16" s="87"/>
      <c r="P16" s="87"/>
      <c r="Q16" s="88"/>
      <c r="R16" s="78"/>
      <c r="S16" s="78"/>
      <c r="T16" s="78"/>
      <c r="U16" s="78"/>
      <c r="V16" s="78"/>
      <c r="W16" s="78"/>
      <c r="X16" s="78"/>
    </row>
    <row r="17" spans="1:24" ht="19.5" customHeight="1" x14ac:dyDescent="0.35">
      <c r="A17" s="78"/>
      <c r="B17" s="78"/>
      <c r="C17" s="78"/>
      <c r="D17" s="78"/>
      <c r="E17" s="78"/>
      <c r="F17" s="78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8"/>
      <c r="R17" s="78"/>
      <c r="S17" s="78"/>
      <c r="T17" s="78"/>
      <c r="U17" s="78"/>
      <c r="V17" s="78"/>
      <c r="W17" s="78"/>
      <c r="X17" s="78"/>
    </row>
    <row r="18" spans="1:24" ht="21.75" customHeight="1" x14ac:dyDescent="0.35">
      <c r="A18" s="78"/>
      <c r="B18" s="171" t="s">
        <v>240</v>
      </c>
      <c r="C18" s="171"/>
      <c r="D18" s="171"/>
      <c r="E18" s="171"/>
      <c r="F18" s="171"/>
      <c r="G18" s="171"/>
      <c r="H18" s="171"/>
      <c r="I18" s="171"/>
      <c r="J18" s="171"/>
      <c r="K18" s="171"/>
      <c r="L18" s="87"/>
      <c r="M18" s="87"/>
      <c r="N18" s="87"/>
      <c r="O18" s="87"/>
      <c r="P18" s="87"/>
      <c r="Q18" s="88"/>
      <c r="R18" s="78"/>
      <c r="S18" s="78"/>
      <c r="T18" s="78"/>
      <c r="U18" s="78"/>
      <c r="V18" s="78"/>
      <c r="W18" s="78"/>
      <c r="X18" s="78"/>
    </row>
    <row r="19" spans="1:24" ht="37.5" customHeight="1" x14ac:dyDescent="0.35">
      <c r="A19" s="78"/>
      <c r="B19" s="96" t="s">
        <v>214</v>
      </c>
      <c r="C19" s="96" t="s">
        <v>241</v>
      </c>
      <c r="D19" s="96" t="s">
        <v>216</v>
      </c>
      <c r="E19" s="96" t="s">
        <v>217</v>
      </c>
      <c r="F19" s="96" t="s">
        <v>218</v>
      </c>
      <c r="G19" s="97" t="s">
        <v>80</v>
      </c>
      <c r="H19" s="87"/>
      <c r="I19" s="87"/>
      <c r="J19" s="87"/>
      <c r="K19" s="87"/>
      <c r="L19" s="87"/>
      <c r="M19" s="87"/>
      <c r="N19" s="87"/>
      <c r="O19" s="87"/>
      <c r="P19" s="87"/>
      <c r="Q19" s="88"/>
      <c r="R19" s="78"/>
      <c r="S19" s="78"/>
      <c r="T19" s="78"/>
      <c r="U19" s="78"/>
      <c r="V19" s="78"/>
      <c r="W19" s="78"/>
      <c r="X19" s="78"/>
    </row>
    <row r="20" spans="1:24" ht="18" customHeight="1" x14ac:dyDescent="0.35">
      <c r="A20" s="78"/>
      <c r="B20" s="80" t="s">
        <v>222</v>
      </c>
      <c r="C20" s="80">
        <f>COUNTIF(E5:E14,"ISD")</f>
        <v>2</v>
      </c>
      <c r="D20" s="81">
        <f>IFERROR(AVERAGEIF(E5:E14,"ISD",G5:G14),"")</f>
        <v>3.8</v>
      </c>
      <c r="E20" s="81">
        <f>IFERROR(AVERAGEIF(E5:E14,"ISD",H5:H14),"")</f>
        <v>2.2999999999999998</v>
      </c>
      <c r="F20" s="81">
        <f t="shared" ref="F20:F26" si="3">IFERROR(ROUND(D20-E20,1),"")</f>
        <v>1.5</v>
      </c>
      <c r="G20" s="98" t="str">
        <f t="shared" ref="G20:G25" si="4">IF(F20="","—",IF(F20&lt;=0,"🟢 No Gap",IF(F20&lt;=1,"🟡 Developing",IF(F20&lt;=2,"🟠 Needs Focus","🔴 Critical"))))</f>
        <v>🟠 Needs Focus</v>
      </c>
      <c r="H20" s="87"/>
      <c r="I20" s="87"/>
      <c r="J20" s="87"/>
      <c r="K20" s="87"/>
      <c r="L20" s="87"/>
      <c r="M20" s="87"/>
      <c r="N20" s="87"/>
      <c r="O20" s="87"/>
      <c r="P20" s="87"/>
      <c r="Q20" s="88"/>
      <c r="R20" s="78"/>
      <c r="S20" s="78"/>
      <c r="T20" s="78"/>
      <c r="U20" s="78"/>
      <c r="V20" s="78"/>
      <c r="W20" s="78"/>
      <c r="X20" s="78"/>
    </row>
    <row r="21" spans="1:24" ht="18" customHeight="1" x14ac:dyDescent="0.35">
      <c r="A21" s="78"/>
      <c r="B21" s="84" t="s">
        <v>224</v>
      </c>
      <c r="C21" s="84">
        <f>COUNTIF(E5:E14,"IP")</f>
        <v>2</v>
      </c>
      <c r="D21" s="85">
        <f>IFERROR(AVERAGEIF(E5:E14,"IP",G5:G14),"")</f>
        <v>4.3499999999999996</v>
      </c>
      <c r="E21" s="85">
        <f>IFERROR(AVERAGEIF(E5:E14,"IP",H5:H14),"")</f>
        <v>4.4000000000000004</v>
      </c>
      <c r="F21" s="85">
        <f t="shared" si="3"/>
        <v>-0.1</v>
      </c>
      <c r="G21" s="99" t="str">
        <f t="shared" si="4"/>
        <v>🟢 No Gap</v>
      </c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78"/>
      <c r="S21" s="78"/>
      <c r="T21" s="78"/>
      <c r="U21" s="78"/>
      <c r="V21" s="78"/>
      <c r="W21" s="78"/>
      <c r="X21" s="78"/>
    </row>
    <row r="22" spans="1:24" ht="18" customHeight="1" x14ac:dyDescent="0.35">
      <c r="A22" s="78"/>
      <c r="B22" s="80" t="s">
        <v>227</v>
      </c>
      <c r="C22" s="80">
        <f>COUNTIF(E5:E14,"EPC")</f>
        <v>2</v>
      </c>
      <c r="D22" s="81">
        <f>IFERROR(AVERAGEIF(E5:E14,"EPC",G5:G14),"")</f>
        <v>3.4</v>
      </c>
      <c r="E22" s="81">
        <f>IFERROR(AVERAGEIF(E5:E14,"EPC",H5:H14),"")</f>
        <v>1.7</v>
      </c>
      <c r="F22" s="81">
        <f t="shared" si="3"/>
        <v>1.7</v>
      </c>
      <c r="G22" s="98" t="str">
        <f t="shared" si="4"/>
        <v>🟠 Needs Focus</v>
      </c>
      <c r="H22" s="87"/>
      <c r="I22" s="87"/>
      <c r="J22" s="87"/>
      <c r="K22" s="87"/>
      <c r="L22" s="87"/>
      <c r="M22" s="87"/>
      <c r="N22" s="87"/>
      <c r="O22" s="87"/>
      <c r="P22" s="87"/>
      <c r="Q22" s="88"/>
      <c r="R22" s="78"/>
      <c r="S22" s="78"/>
      <c r="T22" s="78"/>
      <c r="U22" s="78"/>
      <c r="V22" s="78"/>
      <c r="W22" s="78"/>
      <c r="X22" s="78"/>
    </row>
    <row r="23" spans="1:24" ht="18" customHeight="1" x14ac:dyDescent="0.35">
      <c r="A23" s="78"/>
      <c r="B23" s="84" t="s">
        <v>230</v>
      </c>
      <c r="C23" s="84">
        <f>COUNTIF(E5:E14,"Corporate")</f>
        <v>2</v>
      </c>
      <c r="D23" s="85">
        <f>IFERROR(AVERAGEIF(E5:E14,"Corporate",G5:G14),"")</f>
        <v>4.3499999999999996</v>
      </c>
      <c r="E23" s="85">
        <f>IFERROR(AVERAGEIF(E5:E14,"Corporate",H5:H14),"")</f>
        <v>4</v>
      </c>
      <c r="F23" s="85">
        <f t="shared" si="3"/>
        <v>0.4</v>
      </c>
      <c r="G23" s="100" t="str">
        <f t="shared" si="4"/>
        <v>🟡 Developing</v>
      </c>
      <c r="H23" s="87"/>
      <c r="I23" s="87"/>
      <c r="J23" s="87"/>
      <c r="K23" s="87"/>
      <c r="L23" s="87"/>
      <c r="M23" s="87"/>
      <c r="N23" s="87"/>
      <c r="O23" s="87"/>
      <c r="P23" s="87"/>
      <c r="Q23" s="88"/>
      <c r="R23" s="78"/>
      <c r="S23" s="78"/>
      <c r="T23" s="78"/>
      <c r="U23" s="78"/>
      <c r="V23" s="78"/>
      <c r="W23" s="78"/>
      <c r="X23" s="78"/>
    </row>
    <row r="24" spans="1:24" ht="18" customHeight="1" x14ac:dyDescent="0.35">
      <c r="A24" s="78"/>
      <c r="B24" s="80" t="s">
        <v>232</v>
      </c>
      <c r="C24" s="80">
        <f>COUNTIF(E5:E14,"Cluster")</f>
        <v>1</v>
      </c>
      <c r="D24" s="81">
        <f>IFERROR(AVERAGEIF(E5:E14,"Cluster",G5:G14),"")</f>
        <v>3</v>
      </c>
      <c r="E24" s="81">
        <f>IFERROR(AVERAGEIF(E5:E14,"Cluster",H5:H14),"")</f>
        <v>1.6</v>
      </c>
      <c r="F24" s="81">
        <f t="shared" si="3"/>
        <v>1.4</v>
      </c>
      <c r="G24" s="98" t="str">
        <f t="shared" si="4"/>
        <v>🟠 Needs Focus</v>
      </c>
      <c r="H24" s="87"/>
      <c r="I24" s="87"/>
      <c r="J24" s="87"/>
      <c r="K24" s="87"/>
      <c r="L24" s="87"/>
      <c r="M24" s="87"/>
      <c r="N24" s="87"/>
      <c r="O24" s="87"/>
      <c r="P24" s="87"/>
      <c r="Q24" s="88"/>
      <c r="R24" s="78"/>
      <c r="S24" s="78"/>
      <c r="T24" s="78"/>
      <c r="U24" s="78"/>
      <c r="V24" s="78"/>
      <c r="W24" s="78"/>
      <c r="X24" s="78"/>
    </row>
    <row r="25" spans="1:24" ht="18" customHeight="1" x14ac:dyDescent="0.35">
      <c r="A25" s="78"/>
      <c r="B25" s="84" t="s">
        <v>234</v>
      </c>
      <c r="C25" s="84">
        <f>COUNTIF(E5:E14,"Construction")</f>
        <v>1</v>
      </c>
      <c r="D25" s="85">
        <f>IFERROR(AVERAGEIF(E5:E14,"Construction",G5:G14),"")</f>
        <v>4.2</v>
      </c>
      <c r="E25" s="85">
        <f>IFERROR(AVERAGEIF(E5:E14,"Construction",H5:H14),"")</f>
        <v>3.4</v>
      </c>
      <c r="F25" s="85">
        <f t="shared" si="3"/>
        <v>0.8</v>
      </c>
      <c r="G25" s="100" t="str">
        <f t="shared" si="4"/>
        <v>🟡 Developing</v>
      </c>
      <c r="H25" s="87"/>
      <c r="I25" s="87"/>
      <c r="J25" s="87"/>
      <c r="K25" s="87"/>
      <c r="L25" s="87"/>
      <c r="M25" s="87"/>
      <c r="N25" s="87"/>
      <c r="O25" s="87"/>
      <c r="P25" s="87"/>
      <c r="Q25" s="88"/>
      <c r="R25" s="78"/>
      <c r="S25" s="78"/>
      <c r="T25" s="78"/>
      <c r="U25" s="78"/>
      <c r="V25" s="78"/>
      <c r="W25" s="78"/>
      <c r="X25" s="78"/>
    </row>
    <row r="26" spans="1:24" ht="19.5" customHeight="1" x14ac:dyDescent="0.35">
      <c r="A26" s="78"/>
      <c r="B26" s="92" t="s">
        <v>242</v>
      </c>
      <c r="C26" s="92">
        <f>SUM(C20:C25)</f>
        <v>10</v>
      </c>
      <c r="D26" s="93">
        <f>ROUND(AVERAGE(D20:D25),1)</f>
        <v>3.9</v>
      </c>
      <c r="E26" s="93">
        <f>ROUND(AVERAGE(E20:E25),1)</f>
        <v>2.9</v>
      </c>
      <c r="F26" s="93">
        <f t="shared" si="3"/>
        <v>1</v>
      </c>
      <c r="G26" s="101" t="str">
        <f>IF(F26&lt;=0,"🟢 No Gap",IF(F26&lt;=1,"🟡 Developing",IF(F26&lt;=2,"🟠 Needs Focus","🔴 Critical")))</f>
        <v>🟡 Developing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</row>
    <row r="27" spans="1:24" ht="21.75" customHeight="1" x14ac:dyDescent="0.35">
      <c r="A27" s="78"/>
      <c r="B27" s="78"/>
      <c r="C27" s="78"/>
      <c r="D27" s="78"/>
      <c r="E27" s="78"/>
      <c r="F27" s="78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78"/>
      <c r="S27" s="78"/>
      <c r="T27" s="78"/>
      <c r="U27" s="78"/>
      <c r="V27" s="78"/>
      <c r="W27" s="78"/>
      <c r="X27" s="78"/>
    </row>
    <row r="28" spans="1:24" ht="21.75" customHeight="1" x14ac:dyDescent="0.35">
      <c r="A28" s="78"/>
      <c r="B28" s="171" t="s">
        <v>243</v>
      </c>
      <c r="C28" s="171"/>
      <c r="D28" s="171"/>
      <c r="E28" s="171"/>
      <c r="F28" s="171"/>
      <c r="G28" s="171"/>
      <c r="H28" s="171"/>
      <c r="I28" s="171"/>
      <c r="J28" s="171"/>
      <c r="K28" s="171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</row>
    <row r="29" spans="1:24" ht="37.5" customHeight="1" x14ac:dyDescent="0.35">
      <c r="A29" s="78"/>
      <c r="B29" s="96" t="s">
        <v>244</v>
      </c>
      <c r="C29" s="96" t="s">
        <v>241</v>
      </c>
      <c r="D29" s="96" t="s">
        <v>216</v>
      </c>
      <c r="E29" s="96" t="s">
        <v>217</v>
      </c>
      <c r="F29" s="96" t="s">
        <v>218</v>
      </c>
      <c r="G29" s="96" t="s">
        <v>80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</row>
    <row r="30" spans="1:24" ht="18" customHeight="1" x14ac:dyDescent="0.35">
      <c r="A30" s="78"/>
      <c r="B30" s="80" t="s">
        <v>226</v>
      </c>
      <c r="C30" s="80">
        <f>COUNTIF(D5:D14,"In-charge/DM")</f>
        <v>2</v>
      </c>
      <c r="D30" s="81">
        <f>IFERROR(AVERAGEIF(D5:D14,"In-charge/DM",G5:G14),"")</f>
        <v>3</v>
      </c>
      <c r="E30" s="81">
        <f>IFERROR(AVERAGEIF(D5:D14,"In-charge/DM",H5:H14),"")</f>
        <v>1.3</v>
      </c>
      <c r="F30" s="81">
        <f>IFERROR(ROUND(D30-E30,1),"")</f>
        <v>1.7</v>
      </c>
      <c r="G30" s="98" t="str">
        <f>IF(F30="","—",IF(F30&lt;=0,"🟢 No Gap",IF(F30&lt;=1,"🟡 Developing",IF(F30&lt;=2,"🟠 Needs Focus","🔴 Critical"))))</f>
        <v>🟠 Needs Focus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</row>
    <row r="31" spans="1:24" ht="18" customHeight="1" x14ac:dyDescent="0.35">
      <c r="A31" s="78"/>
      <c r="B31" s="84" t="s">
        <v>221</v>
      </c>
      <c r="C31" s="84">
        <f>COUNTIF(D5:D14,"Manager")</f>
        <v>3</v>
      </c>
      <c r="D31" s="85">
        <f>IFERROR(AVERAGEIF(D5:D14,"Manager",G5:G14),"")</f>
        <v>3.7999999999999994</v>
      </c>
      <c r="E31" s="85">
        <f>IFERROR(AVERAGEIF(D5:D14,"Manager",H5:H14),"")</f>
        <v>2.3333333333333335</v>
      </c>
      <c r="F31" s="85">
        <f>IFERROR(ROUND(D31-E31,1),"")</f>
        <v>1.5</v>
      </c>
      <c r="G31" s="98" t="str">
        <f>IF(F31="","—",IF(F31&lt;=0,"🟢 No Gap",IF(F31&lt;=1,"🟡 Developing",IF(F31&lt;=2,"🟠 Needs Focus","🔴 Critical"))))</f>
        <v>🟠 Needs Focus</v>
      </c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78"/>
      <c r="S31" s="78"/>
      <c r="T31" s="78"/>
      <c r="U31" s="78"/>
      <c r="V31" s="78"/>
      <c r="W31" s="78"/>
      <c r="X31" s="78"/>
    </row>
    <row r="32" spans="1:24" ht="18" customHeight="1" x14ac:dyDescent="0.35">
      <c r="A32" s="78"/>
      <c r="B32" s="80" t="s">
        <v>61</v>
      </c>
      <c r="C32" s="80">
        <f>COUNTIF(D5:D14,"Head")</f>
        <v>3</v>
      </c>
      <c r="D32" s="81">
        <f>IFERROR(AVERAGEIF(D5:D14,"Head",G5:G14),"")</f>
        <v>4.2</v>
      </c>
      <c r="E32" s="81">
        <f>IFERROR(AVERAGEIF(D5:D14,"Head",H5:H14),"")</f>
        <v>3.6999999999999997</v>
      </c>
      <c r="F32" s="81">
        <f>IFERROR(ROUND(D32-E32,1),"")</f>
        <v>0.5</v>
      </c>
      <c r="G32" s="100" t="str">
        <f>IF(F32="","—",IF(F32&lt;=0,"🟢 No Gap",IF(F32&lt;=1,"🟡 Developing",IF(F32&lt;=2,"🟠 Needs Focus","🔴 Critical"))))</f>
        <v>🟡 Developing</v>
      </c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78"/>
      <c r="S32" s="78"/>
      <c r="T32" s="78"/>
      <c r="U32" s="78"/>
      <c r="V32" s="78"/>
      <c r="W32" s="78"/>
      <c r="X32" s="78"/>
    </row>
    <row r="33" spans="1:24" ht="18" customHeight="1" x14ac:dyDescent="0.35">
      <c r="A33" s="78"/>
      <c r="B33" s="84" t="s">
        <v>229</v>
      </c>
      <c r="C33" s="84">
        <f>COUNTIF(D5:D14,"Chief")</f>
        <v>2</v>
      </c>
      <c r="D33" s="85">
        <f>IFERROR(AVERAGEIF(D5:D14,"Chief",G5:G14),"")</f>
        <v>4.5</v>
      </c>
      <c r="E33" s="85">
        <f>IFERROR(AVERAGEIF(D5:D14,"Chief",H5:H14),"")</f>
        <v>4.55</v>
      </c>
      <c r="F33" s="85">
        <f>IFERROR(ROUND(D33-E33,1),"")</f>
        <v>0</v>
      </c>
      <c r="G33" s="99" t="str">
        <f>IF(F33="","—",IF(F33&lt;=0,"🟢 No Gap",IF(F33&lt;=1,"🟡 Developing",IF(F33&lt;=2,"🟠 Needs Focus","🔴 Critical"))))</f>
        <v>🟢 No Gap</v>
      </c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78"/>
      <c r="S33" s="78"/>
      <c r="T33" s="78"/>
      <c r="U33" s="78"/>
      <c r="V33" s="78"/>
      <c r="W33" s="78"/>
      <c r="X33" s="78"/>
    </row>
    <row r="34" spans="1:24" ht="19.5" customHeight="1" x14ac:dyDescent="0.35">
      <c r="A34" s="78"/>
      <c r="B34" s="92" t="s">
        <v>242</v>
      </c>
      <c r="C34" s="92">
        <f>SUM(C30:C33)</f>
        <v>10</v>
      </c>
      <c r="D34" s="93">
        <f>ROUND(AVERAGE(D30:D33),1)</f>
        <v>3.9</v>
      </c>
      <c r="E34" s="93">
        <f>ROUND(AVERAGE(E30:E33),1)</f>
        <v>3</v>
      </c>
      <c r="F34" s="93">
        <f>IFERROR(ROUND(D34-E34,1),"")</f>
        <v>0.9</v>
      </c>
      <c r="G34" s="101" t="str">
        <f>IF(F34&lt;=0,"🟢 No Gap",IF(F34&lt;=1,"🟡 Developing",IF(F34&lt;=2,"🟠 Needs Focus","🔴 Critical")))</f>
        <v>🟡 Developing</v>
      </c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78"/>
      <c r="S34" s="78"/>
      <c r="T34" s="78"/>
      <c r="U34" s="78"/>
      <c r="V34" s="78"/>
      <c r="W34" s="78"/>
      <c r="X34" s="78"/>
    </row>
    <row r="35" spans="1:24" ht="19.5" customHeight="1" x14ac:dyDescent="0.35">
      <c r="A35" s="78"/>
      <c r="B35" s="78"/>
      <c r="C35" s="78"/>
      <c r="D35" s="78"/>
      <c r="E35" s="78"/>
      <c r="F35" s="78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78"/>
      <c r="S35" s="78"/>
      <c r="T35" s="78"/>
      <c r="U35" s="78"/>
      <c r="V35" s="78"/>
      <c r="W35" s="78"/>
      <c r="X35" s="78"/>
    </row>
    <row r="36" spans="1:24" ht="19.5" customHeight="1" x14ac:dyDescent="0.35">
      <c r="A36" s="78"/>
      <c r="B36" s="78" t="s">
        <v>214</v>
      </c>
      <c r="C36" s="78" t="s">
        <v>245</v>
      </c>
      <c r="D36" s="78" t="s">
        <v>246</v>
      </c>
      <c r="E36" s="78" t="s">
        <v>247</v>
      </c>
      <c r="F36" s="78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78"/>
      <c r="S36" s="78"/>
      <c r="T36" s="78"/>
      <c r="U36" s="78"/>
      <c r="V36" s="78"/>
      <c r="W36" s="78"/>
      <c r="X36" s="78"/>
    </row>
    <row r="37" spans="1:24" ht="14.25" customHeight="1" x14ac:dyDescent="0.35">
      <c r="A37" s="78"/>
      <c r="B37" s="78" t="s">
        <v>222</v>
      </c>
      <c r="C37" s="102">
        <f>IFERROR(AVERAGEIF(E5:E14,B37,G5:G14),0)</f>
        <v>3.8</v>
      </c>
      <c r="D37" s="102">
        <f>IFERROR(AVERAGEIF(E5:E14,B37,H5:H14),0)</f>
        <v>2.2999999999999998</v>
      </c>
      <c r="E37" s="102">
        <f t="shared" ref="E37:E42" si="5">IFERROR(C37-D37,0)</f>
        <v>1.5</v>
      </c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</row>
    <row r="38" spans="1:24" ht="14.25" customHeight="1" x14ac:dyDescent="0.35">
      <c r="A38" s="78"/>
      <c r="B38" s="78" t="s">
        <v>224</v>
      </c>
      <c r="C38" s="102">
        <f>IFERROR(AVERAGEIF(E5:E14,B38,G5:G14),0)</f>
        <v>4.3499999999999996</v>
      </c>
      <c r="D38" s="102">
        <f>IFERROR(AVERAGEIF(E5:E14,B38,H5:H14),0)</f>
        <v>4.4000000000000004</v>
      </c>
      <c r="E38" s="102">
        <f t="shared" si="5"/>
        <v>-5.0000000000000711E-2</v>
      </c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</row>
    <row r="39" spans="1:24" ht="21.75" customHeight="1" x14ac:dyDescent="0.35">
      <c r="A39" s="78"/>
      <c r="B39" s="78" t="s">
        <v>227</v>
      </c>
      <c r="C39" s="102">
        <f>IFERROR(AVERAGEIF(E5:E14,B39,G5:G14),0)</f>
        <v>3.4</v>
      </c>
      <c r="D39" s="102">
        <f>IFERROR(AVERAGEIF(E5:E14,B39,H5:H14),0)</f>
        <v>1.7</v>
      </c>
      <c r="E39" s="102">
        <f t="shared" si="5"/>
        <v>1.7</v>
      </c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</row>
    <row r="40" spans="1:24" ht="37.5" customHeight="1" x14ac:dyDescent="0.35">
      <c r="A40" s="78"/>
      <c r="B40" s="78" t="s">
        <v>230</v>
      </c>
      <c r="C40" s="102">
        <f>IFERROR(AVERAGEIF(E5:E14,B40,G5:G14),0)</f>
        <v>4.3499999999999996</v>
      </c>
      <c r="D40" s="102">
        <f>IFERROR(AVERAGEIF(E5:E14,B40,H5:H14),0)</f>
        <v>4</v>
      </c>
      <c r="E40" s="102">
        <f t="shared" si="5"/>
        <v>0.34999999999999964</v>
      </c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</row>
    <row r="41" spans="1:24" ht="19.5" customHeight="1" x14ac:dyDescent="0.35">
      <c r="A41" s="78"/>
      <c r="B41" s="78" t="s">
        <v>232</v>
      </c>
      <c r="C41" s="102">
        <f>IFERROR(AVERAGEIF(E5:E14,B41,G5:G14),0)</f>
        <v>3</v>
      </c>
      <c r="D41" s="102">
        <f>IFERROR(AVERAGEIF(E5:E14,B41,H5:H14),0)</f>
        <v>1.6</v>
      </c>
      <c r="E41" s="102">
        <f t="shared" si="5"/>
        <v>1.4</v>
      </c>
      <c r="F41" s="78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78"/>
      <c r="S41" s="78"/>
      <c r="T41" s="78"/>
      <c r="U41" s="78"/>
      <c r="V41" s="78"/>
      <c r="W41" s="78"/>
      <c r="X41" s="78"/>
    </row>
    <row r="42" spans="1:24" ht="19.5" customHeight="1" x14ac:dyDescent="0.35">
      <c r="A42" s="78"/>
      <c r="B42" s="78" t="s">
        <v>234</v>
      </c>
      <c r="C42" s="102">
        <f>IFERROR(AVERAGEIF(E5:E14,B42,G5:G14),0)</f>
        <v>4.2</v>
      </c>
      <c r="D42" s="102">
        <f>IFERROR(AVERAGEIF(E5:E14,B42,H5:H14),0)</f>
        <v>3.4</v>
      </c>
      <c r="E42" s="102">
        <f t="shared" si="5"/>
        <v>0.80000000000000027</v>
      </c>
      <c r="F42" s="78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78"/>
      <c r="S42" s="78"/>
      <c r="T42" s="78"/>
      <c r="U42" s="78"/>
      <c r="V42" s="78"/>
      <c r="W42" s="78"/>
      <c r="X42" s="78"/>
    </row>
    <row r="43" spans="1:24" ht="19.5" customHeight="1" x14ac:dyDescent="0.35">
      <c r="A43" s="78"/>
      <c r="B43" s="78"/>
      <c r="C43" s="78"/>
      <c r="D43" s="78"/>
      <c r="E43" s="78"/>
      <c r="F43" s="78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78"/>
      <c r="S43" s="78"/>
      <c r="T43" s="78"/>
      <c r="U43" s="78"/>
      <c r="V43" s="78"/>
      <c r="W43" s="78"/>
      <c r="X43" s="78"/>
    </row>
    <row r="44" spans="1:24" ht="19.5" customHeight="1" x14ac:dyDescent="0.35">
      <c r="A44" s="78"/>
      <c r="B44" s="78" t="s">
        <v>244</v>
      </c>
      <c r="C44" s="78" t="s">
        <v>245</v>
      </c>
      <c r="D44" s="78" t="s">
        <v>246</v>
      </c>
      <c r="E44" s="78" t="s">
        <v>247</v>
      </c>
      <c r="F44" s="78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78"/>
      <c r="S44" s="78"/>
      <c r="T44" s="78"/>
      <c r="U44" s="78"/>
      <c r="V44" s="78"/>
      <c r="W44" s="78"/>
      <c r="X44" s="78"/>
    </row>
    <row r="45" spans="1:24" ht="14.25" customHeight="1" x14ac:dyDescent="0.35">
      <c r="A45" s="78"/>
      <c r="B45" s="78" t="s">
        <v>226</v>
      </c>
      <c r="C45" s="102">
        <f>IFERROR(AVERAGEIF(D5:D14,B45,G5:G14),0)</f>
        <v>3</v>
      </c>
      <c r="D45" s="102">
        <f>IFERROR(AVERAGEIF(D5:D14,B45,H5:H14),0)</f>
        <v>1.3</v>
      </c>
      <c r="E45" s="102">
        <f>IFERROR(C45-D45,0)</f>
        <v>1.7</v>
      </c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</row>
    <row r="46" spans="1:24" ht="14.25" customHeight="1" x14ac:dyDescent="0.35">
      <c r="A46" s="78"/>
      <c r="B46" s="78" t="s">
        <v>221</v>
      </c>
      <c r="C46" s="102">
        <f>IFERROR(AVERAGEIF(D5:D14,B46,G5:G14),0)</f>
        <v>3.7999999999999994</v>
      </c>
      <c r="D46" s="102">
        <f>IFERROR(AVERAGEIF(D5:D14,B46,H5:H14),0)</f>
        <v>2.3333333333333335</v>
      </c>
      <c r="E46" s="102">
        <f>IFERROR(C46-D46,0)</f>
        <v>1.4666666666666659</v>
      </c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</row>
    <row r="47" spans="1:24" ht="14.25" customHeight="1" x14ac:dyDescent="0.35">
      <c r="A47" s="78"/>
      <c r="B47" s="78" t="s">
        <v>61</v>
      </c>
      <c r="C47" s="102">
        <f>IFERROR(AVERAGEIF(D5:D14,B47,G5:G14),0)</f>
        <v>4.2</v>
      </c>
      <c r="D47" s="102">
        <f>IFERROR(AVERAGEIF(D5:D14,B47,H5:H14),0)</f>
        <v>3.6999999999999997</v>
      </c>
      <c r="E47" s="102">
        <f>IFERROR(C47-D47,0)</f>
        <v>0.50000000000000044</v>
      </c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</row>
    <row r="48" spans="1:24" ht="14.25" customHeight="1" x14ac:dyDescent="0.35">
      <c r="A48" s="78"/>
      <c r="B48" s="78" t="s">
        <v>229</v>
      </c>
      <c r="C48" s="102">
        <f>IFERROR(AVERAGEIF(D5:D14,B48,G5:G14),0)</f>
        <v>4.5</v>
      </c>
      <c r="D48" s="102">
        <f>IFERROR(AVERAGEIF(D5:D14,B48,H5:H14),0)</f>
        <v>4.55</v>
      </c>
      <c r="E48" s="102">
        <f>IFERROR(C48-D48,0)</f>
        <v>-4.9999999999999822E-2</v>
      </c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</row>
    <row r="49" spans="1:24" ht="14.25" customHeight="1" x14ac:dyDescent="0.3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</row>
    <row r="50" spans="1:24" ht="14.25" customHeight="1" x14ac:dyDescent="0.3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</row>
    <row r="51" spans="1:24" ht="14.25" customHeight="1" x14ac:dyDescent="0.35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</row>
    <row r="52" spans="1:24" ht="14.25" customHeight="1" x14ac:dyDescent="0.35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</row>
    <row r="53" spans="1:24" ht="14.25" customHeight="1" x14ac:dyDescent="0.35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</row>
    <row r="54" spans="1:24" ht="14.25" customHeight="1" x14ac:dyDescent="0.3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</row>
  </sheetData>
  <mergeCells count="4">
    <mergeCell ref="A1:K1"/>
    <mergeCell ref="A2:K2"/>
    <mergeCell ref="B18:K18"/>
    <mergeCell ref="B28:K28"/>
  </mergeCells>
  <conditionalFormatting sqref="G6:N25">
    <cfRule type="cellIs" dxfId="2" priority="2" operator="greaterThan">
      <formula>12</formula>
    </cfRule>
    <cfRule type="cellIs" dxfId="1" priority="3" operator="between">
      <formula>5</formula>
      <formula>12</formula>
    </cfRule>
    <cfRule type="cellIs" dxfId="0" priority="4" operator="lessThan">
      <formula>5</formula>
    </cfRule>
  </conditionalFormatting>
  <dataValidations count="2">
    <dataValidation type="list" allowBlank="1" sqref="D6:D25" xr:uid="{00000000-0002-0000-0200-000000000000}">
      <formula1>"In-charge / DM,Manager,Head,Chief"</formula1>
      <formula2>0</formula2>
    </dataValidation>
    <dataValidation type="list" allowBlank="1" sqref="E6:E25" xr:uid="{00000000-0002-0000-0200-000001000000}">
      <formula1>"ISD,IP,EPC,Corporate,Cluster,Construction"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9"/>
  <sheetViews>
    <sheetView showGridLines="0" topLeftCell="A31" zoomScaleNormal="100" workbookViewId="0">
      <selection activeCell="A14" sqref="A14"/>
    </sheetView>
  </sheetViews>
  <sheetFormatPr defaultColWidth="8.6328125" defaultRowHeight="14.5" x14ac:dyDescent="0.35"/>
  <cols>
    <col min="1" max="1" width="6" customWidth="1"/>
    <col min="2" max="7" width="18" customWidth="1"/>
    <col min="8" max="9" width="20" customWidth="1"/>
    <col min="10" max="12" width="5" customWidth="1"/>
  </cols>
  <sheetData>
    <row r="1" spans="1:24" ht="30" customHeight="1" x14ac:dyDescent="0.35">
      <c r="A1" s="172" t="s">
        <v>248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</row>
    <row r="2" spans="1:24" ht="15.75" customHeight="1" x14ac:dyDescent="0.35">
      <c r="A2" s="173" t="s">
        <v>249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</row>
    <row r="3" spans="1:24" ht="7.5" customHeight="1" x14ac:dyDescent="0.35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</row>
    <row r="4" spans="1:24" ht="21.75" customHeight="1" x14ac:dyDescent="0.35">
      <c r="A4" s="174" t="s">
        <v>250</v>
      </c>
      <c r="B4" s="174"/>
      <c r="C4" s="175" t="s">
        <v>251</v>
      </c>
      <c r="D4" s="175"/>
      <c r="E4" s="175" t="s">
        <v>252</v>
      </c>
      <c r="F4" s="175"/>
      <c r="G4" s="176" t="s">
        <v>253</v>
      </c>
      <c r="H4" s="176"/>
      <c r="I4" s="177" t="s">
        <v>44</v>
      </c>
      <c r="J4" s="177"/>
      <c r="K4" s="178" t="s">
        <v>48</v>
      </c>
      <c r="L4" s="1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</row>
    <row r="5" spans="1:24" ht="27.75" customHeight="1" x14ac:dyDescent="0.35">
      <c r="A5" s="185">
        <f>COUNTA('📊 PM Family Summary'!C5:C14)</f>
        <v>10</v>
      </c>
      <c r="B5" s="185"/>
      <c r="C5" s="186">
        <f>ROUND(AVERAGE('📊 PM Family Summary'!G5:G14),1)</f>
        <v>3.9</v>
      </c>
      <c r="D5" s="186"/>
      <c r="E5" s="186">
        <f>ROUND(AVERAGE('📊 PM Family Summary'!H5:H14),1)</f>
        <v>3</v>
      </c>
      <c r="F5" s="186"/>
      <c r="G5" s="187">
        <f>ROUND(C5-E5,1)</f>
        <v>0.9</v>
      </c>
      <c r="H5" s="187"/>
      <c r="I5" s="188">
        <f>COUNTIF('📊 PM Family Summary'!J5:J14,"🟡 Developing")</f>
        <v>3</v>
      </c>
      <c r="J5" s="188"/>
      <c r="K5" s="180">
        <f>COUNTIF('📊 PM Family Summary'!J5:J14,"🟠 Needs Focus")</f>
        <v>3</v>
      </c>
      <c r="L5" s="180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</row>
    <row r="6" spans="1:24" ht="9.75" customHeight="1" x14ac:dyDescent="0.35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</row>
    <row r="7" spans="1:24" ht="21.75" customHeight="1" x14ac:dyDescent="0.35">
      <c r="A7" s="181" t="s">
        <v>254</v>
      </c>
      <c r="B7" s="181"/>
      <c r="C7" s="182" t="s">
        <v>52</v>
      </c>
      <c r="D7" s="182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</row>
    <row r="8" spans="1:24" ht="27.75" customHeight="1" x14ac:dyDescent="0.35">
      <c r="A8" s="183">
        <f>COUNTIF('📊 PM Family Summary'!J5:J14,"🟢 No Gap")</f>
        <v>3</v>
      </c>
      <c r="B8" s="183"/>
      <c r="C8" s="184">
        <f>COUNTIF('📊 PM Family Summary'!J5:J14,"🔴 Critical")</f>
        <v>1</v>
      </c>
      <c r="D8" s="184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</row>
    <row r="9" spans="1:24" ht="19.5" customHeight="1" x14ac:dyDescent="0.35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</row>
    <row r="10" spans="1:24" ht="19.5" customHeight="1" x14ac:dyDescent="0.35">
      <c r="A10" s="179" t="s">
        <v>255</v>
      </c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</row>
    <row r="11" spans="1:24" ht="18" customHeight="1" x14ac:dyDescent="0.35">
      <c r="A11" s="104" t="s">
        <v>254</v>
      </c>
      <c r="B11" s="104"/>
      <c r="C11" s="106" t="s">
        <v>256</v>
      </c>
      <c r="D11" s="78"/>
      <c r="E11" s="107" t="s">
        <v>257</v>
      </c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</row>
    <row r="12" spans="1:24" ht="18" customHeight="1" x14ac:dyDescent="0.35">
      <c r="A12" s="108" t="s">
        <v>44</v>
      </c>
      <c r="B12" s="108"/>
      <c r="C12" s="106" t="s">
        <v>258</v>
      </c>
      <c r="D12" s="78"/>
      <c r="E12" s="107" t="s">
        <v>259</v>
      </c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</row>
    <row r="13" spans="1:24" ht="18" customHeight="1" x14ac:dyDescent="0.35">
      <c r="A13" s="109" t="s">
        <v>48</v>
      </c>
      <c r="B13" s="109"/>
      <c r="C13" s="106" t="s">
        <v>260</v>
      </c>
      <c r="D13" s="78"/>
      <c r="E13" s="107" t="s">
        <v>261</v>
      </c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</row>
    <row r="14" spans="1:24" ht="18" customHeight="1" x14ac:dyDescent="0.35">
      <c r="A14" s="105" t="s">
        <v>52</v>
      </c>
      <c r="B14" s="105"/>
      <c r="C14" s="106" t="s">
        <v>262</v>
      </c>
      <c r="D14" s="78"/>
      <c r="E14" s="107" t="s">
        <v>263</v>
      </c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</row>
    <row r="15" spans="1:24" ht="19.5" customHeight="1" x14ac:dyDescent="0.35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</row>
    <row r="16" spans="1:24" ht="19.5" customHeight="1" x14ac:dyDescent="0.35">
      <c r="A16" s="179" t="s">
        <v>264</v>
      </c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</row>
    <row r="17" spans="1:24" ht="36" customHeight="1" x14ac:dyDescent="0.35">
      <c r="A17" s="103" t="s">
        <v>68</v>
      </c>
      <c r="B17" s="110" t="s">
        <v>265</v>
      </c>
      <c r="C17" s="110" t="s">
        <v>213</v>
      </c>
      <c r="D17" s="103" t="s">
        <v>214</v>
      </c>
      <c r="E17" s="103" t="s">
        <v>216</v>
      </c>
      <c r="F17" s="103" t="s">
        <v>217</v>
      </c>
      <c r="G17" s="103" t="s">
        <v>218</v>
      </c>
      <c r="H17" s="103" t="s">
        <v>80</v>
      </c>
      <c r="I17" s="110" t="s">
        <v>266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</row>
    <row r="18" spans="1:24" ht="15.75" customHeight="1" x14ac:dyDescent="0.35">
      <c r="A18" s="111">
        <v>1</v>
      </c>
      <c r="B18" s="112" t="str">
        <f>'📊 PM Family Summary'!C5</f>
        <v>Ahmed Raza</v>
      </c>
      <c r="C18" s="112" t="str">
        <f>'📊 PM Family Summary'!D5</f>
        <v>Manager</v>
      </c>
      <c r="D18" s="111" t="str">
        <f>'📊 PM Family Summary'!E5</f>
        <v>ISD</v>
      </c>
      <c r="E18" s="113">
        <f>'📊 PM Family Summary'!G5</f>
        <v>3.8</v>
      </c>
      <c r="F18" s="113">
        <f>'📊 PM Family Summary'!H5</f>
        <v>3.1</v>
      </c>
      <c r="G18" s="113">
        <f>'📊 PM Family Summary'!I5</f>
        <v>0.7</v>
      </c>
      <c r="H18" s="82" t="str">
        <f>'📊 PM Family Summary'!J5</f>
        <v>🟡 Developing</v>
      </c>
      <c r="I18" s="112" t="str">
        <f>'📊 PM Family Summary'!K5</f>
        <v>Targeted Dev Plan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</row>
    <row r="19" spans="1:24" ht="15.75" customHeight="1" x14ac:dyDescent="0.35">
      <c r="A19" s="114">
        <v>2</v>
      </c>
      <c r="B19" s="115" t="str">
        <f>'📊 PM Family Summary'!C6</f>
        <v>Sara Qureshi</v>
      </c>
      <c r="C19" s="115" t="str">
        <f>'📊 PM Family Summary'!D6</f>
        <v>Head</v>
      </c>
      <c r="D19" s="114" t="str">
        <f>'📊 PM Family Summary'!E6</f>
        <v>IP</v>
      </c>
      <c r="E19" s="116">
        <f>'📊 PM Family Summary'!G6</f>
        <v>4.2</v>
      </c>
      <c r="F19" s="116">
        <f>'📊 PM Family Summary'!H6</f>
        <v>4.2</v>
      </c>
      <c r="G19" s="116">
        <f>'📊 PM Family Summary'!I6</f>
        <v>0</v>
      </c>
      <c r="H19" s="83" t="str">
        <f>'📊 PM Family Summary'!J6</f>
        <v>🟢 No Gap</v>
      </c>
      <c r="I19" s="117" t="str">
        <f>'📊 PM Family Summary'!K6</f>
        <v>No Action Needed</v>
      </c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</row>
    <row r="20" spans="1:24" ht="15.75" customHeight="1" x14ac:dyDescent="0.35">
      <c r="A20" s="111">
        <v>3</v>
      </c>
      <c r="B20" s="112" t="str">
        <f>'📊 PM Family Summary'!C7</f>
        <v>Bilal Khan</v>
      </c>
      <c r="C20" s="112" t="str">
        <f>'📊 PM Family Summary'!D7</f>
        <v>In-charge/DM</v>
      </c>
      <c r="D20" s="111" t="str">
        <f>'📊 PM Family Summary'!E7</f>
        <v>EPC</v>
      </c>
      <c r="E20" s="113">
        <f>'📊 PM Family Summary'!G7</f>
        <v>3</v>
      </c>
      <c r="F20" s="113">
        <f>'📊 PM Family Summary'!H7</f>
        <v>1</v>
      </c>
      <c r="G20" s="113">
        <f>'📊 PM Family Summary'!I7</f>
        <v>2</v>
      </c>
      <c r="H20" s="118" t="str">
        <f>'📊 PM Family Summary'!J7</f>
        <v>🟠 Needs Focus</v>
      </c>
      <c r="I20" s="111" t="str">
        <f>'📊 PM Family Summary'!K7</f>
        <v>Structured Dev Plan</v>
      </c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</row>
    <row r="21" spans="1:24" ht="15.75" customHeight="1" x14ac:dyDescent="0.35">
      <c r="A21" s="114">
        <v>4</v>
      </c>
      <c r="B21" s="115" t="str">
        <f>'📊 PM Family Summary'!C8</f>
        <v>Ayesha Noor</v>
      </c>
      <c r="C21" s="115" t="str">
        <f>'📊 PM Family Summary'!D8</f>
        <v>Chief</v>
      </c>
      <c r="D21" s="114" t="str">
        <f>'📊 PM Family Summary'!E8</f>
        <v>Corporate</v>
      </c>
      <c r="E21" s="116">
        <f>'📊 PM Family Summary'!G8</f>
        <v>4.5</v>
      </c>
      <c r="F21" s="116">
        <f>'📊 PM Family Summary'!H8</f>
        <v>4.5</v>
      </c>
      <c r="G21" s="116">
        <f>'📊 PM Family Summary'!I8</f>
        <v>0</v>
      </c>
      <c r="H21" s="83" t="str">
        <f>'📊 PM Family Summary'!J8</f>
        <v>🟢 No Gap</v>
      </c>
      <c r="I21" s="114" t="str">
        <f>'📊 PM Family Summary'!K8</f>
        <v>No Action Needed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</row>
    <row r="22" spans="1:24" ht="15.75" customHeight="1" x14ac:dyDescent="0.35">
      <c r="A22" s="111">
        <v>5</v>
      </c>
      <c r="B22" s="112" t="str">
        <f>'📊 PM Family Summary'!C9</f>
        <v>Omar Farooq</v>
      </c>
      <c r="C22" s="112" t="str">
        <f>'📊 PM Family Summary'!D9</f>
        <v>In-charge/DM</v>
      </c>
      <c r="D22" s="111" t="str">
        <f>'📊 PM Family Summary'!E9</f>
        <v>Cluster</v>
      </c>
      <c r="E22" s="113">
        <f>'📊 PM Family Summary'!G9</f>
        <v>3</v>
      </c>
      <c r="F22" s="113">
        <f>'📊 PM Family Summary'!H9</f>
        <v>1.6</v>
      </c>
      <c r="G22" s="113">
        <f>'📊 PM Family Summary'!I9</f>
        <v>1.4</v>
      </c>
      <c r="H22" s="118" t="str">
        <f>'📊 PM Family Summary'!J9</f>
        <v>🟠 Needs Focus</v>
      </c>
      <c r="I22" s="111" t="str">
        <f>'📊 PM Family Summary'!K9</f>
        <v>Structured Dev Plan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</row>
    <row r="23" spans="1:24" ht="15.75" customHeight="1" x14ac:dyDescent="0.35">
      <c r="A23" s="114">
        <v>6</v>
      </c>
      <c r="B23" s="115" t="str">
        <f>'📊 PM Family Summary'!C10</f>
        <v>Fatima Ali</v>
      </c>
      <c r="C23" s="115" t="str">
        <f>'📊 PM Family Summary'!D10</f>
        <v>Head</v>
      </c>
      <c r="D23" s="114" t="str">
        <f>'📊 PM Family Summary'!E10</f>
        <v>Construction</v>
      </c>
      <c r="E23" s="116">
        <f>'📊 PM Family Summary'!G10</f>
        <v>4.2</v>
      </c>
      <c r="F23" s="116">
        <f>'📊 PM Family Summary'!H10</f>
        <v>3.4</v>
      </c>
      <c r="G23" s="116">
        <f>'📊 PM Family Summary'!I10</f>
        <v>0.8</v>
      </c>
      <c r="H23" s="82" t="str">
        <f>'📊 PM Family Summary'!J10</f>
        <v>🟡 Developing</v>
      </c>
      <c r="I23" s="114" t="str">
        <f>'📊 PM Family Summary'!K10</f>
        <v>Targeted Dev Plan</v>
      </c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</row>
    <row r="24" spans="1:24" ht="15.75" customHeight="1" x14ac:dyDescent="0.35">
      <c r="A24" s="111">
        <v>7</v>
      </c>
      <c r="B24" s="112" t="str">
        <f>'📊 PM Family Summary'!C11</f>
        <v>Hamza Sheikh</v>
      </c>
      <c r="C24" s="112" t="str">
        <f>'📊 PM Family Summary'!D11</f>
        <v>Manager</v>
      </c>
      <c r="D24" s="111" t="str">
        <f>'📊 PM Family Summary'!E11</f>
        <v>ISD</v>
      </c>
      <c r="E24" s="113">
        <f>'📊 PM Family Summary'!G11</f>
        <v>3.8</v>
      </c>
      <c r="F24" s="113">
        <f>'📊 PM Family Summary'!H11</f>
        <v>1.5</v>
      </c>
      <c r="G24" s="113">
        <f>'📊 PM Family Summary'!I11</f>
        <v>2.2999999999999998</v>
      </c>
      <c r="H24" s="119" t="str">
        <f>'📊 PM Family Summary'!J11</f>
        <v>🔴 Critical</v>
      </c>
      <c r="I24" s="111" t="str">
        <f>'📊 PM Family Summary'!K11</f>
        <v>Urgent Intervention</v>
      </c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</row>
    <row r="25" spans="1:24" ht="15.75" customHeight="1" x14ac:dyDescent="0.35">
      <c r="A25" s="114">
        <v>8</v>
      </c>
      <c r="B25" s="115" t="str">
        <f>'📊 PM Family Summary'!C12</f>
        <v>Zainab Malik</v>
      </c>
      <c r="C25" s="115" t="str">
        <f>'📊 PM Family Summary'!D12</f>
        <v>Chief</v>
      </c>
      <c r="D25" s="114" t="str">
        <f>'📊 PM Family Summary'!E12</f>
        <v>IP</v>
      </c>
      <c r="E25" s="116">
        <f>'📊 PM Family Summary'!G12</f>
        <v>4.5</v>
      </c>
      <c r="F25" s="116">
        <f>'📊 PM Family Summary'!H12</f>
        <v>4.5999999999999996</v>
      </c>
      <c r="G25" s="116">
        <f>'📊 PM Family Summary'!I12</f>
        <v>-0.1</v>
      </c>
      <c r="H25" s="83" t="str">
        <f>'📊 PM Family Summary'!J12</f>
        <v>🟢 No Gap</v>
      </c>
      <c r="I25" s="114" t="str">
        <f>'📊 PM Family Summary'!K12</f>
        <v>No Action Needed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</row>
    <row r="26" spans="1:24" ht="15.75" customHeight="1" x14ac:dyDescent="0.35">
      <c r="A26" s="111">
        <v>9</v>
      </c>
      <c r="B26" s="112" t="str">
        <f>'📊 PM Family Summary'!C13</f>
        <v>Usman Tariq</v>
      </c>
      <c r="C26" s="112" t="str">
        <f>'📊 PM Family Summary'!D13</f>
        <v>Manager</v>
      </c>
      <c r="D26" s="111" t="str">
        <f>'📊 PM Family Summary'!E13</f>
        <v>EPC</v>
      </c>
      <c r="E26" s="113">
        <f>'📊 PM Family Summary'!G13</f>
        <v>3.8</v>
      </c>
      <c r="F26" s="113">
        <f>'📊 PM Family Summary'!H13</f>
        <v>2.4</v>
      </c>
      <c r="G26" s="113">
        <f>'📊 PM Family Summary'!I13</f>
        <v>1.4</v>
      </c>
      <c r="H26" s="118" t="str">
        <f>'📊 PM Family Summary'!J13</f>
        <v>🟠 Needs Focus</v>
      </c>
      <c r="I26" s="111" t="str">
        <f>'📊 PM Family Summary'!K13</f>
        <v>Structured Dev Plan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</row>
    <row r="27" spans="1:24" ht="15.75" customHeight="1" x14ac:dyDescent="0.35">
      <c r="A27" s="114">
        <v>10</v>
      </c>
      <c r="B27" s="115" t="str">
        <f>'📊 PM Family Summary'!C14</f>
        <v>Nadia Iqbal</v>
      </c>
      <c r="C27" s="115" t="str">
        <f>'📊 PM Family Summary'!D14</f>
        <v>Head</v>
      </c>
      <c r="D27" s="114" t="str">
        <f>'📊 PM Family Summary'!E14</f>
        <v>Corporate</v>
      </c>
      <c r="E27" s="116">
        <f>'📊 PM Family Summary'!G14</f>
        <v>4.2</v>
      </c>
      <c r="F27" s="116">
        <f>'📊 PM Family Summary'!H14</f>
        <v>3.5</v>
      </c>
      <c r="G27" s="116">
        <f>'📊 PM Family Summary'!I14</f>
        <v>0.7</v>
      </c>
      <c r="H27" s="82" t="str">
        <f>'📊 PM Family Summary'!J14</f>
        <v>🟡 Developing</v>
      </c>
      <c r="I27" s="114" t="str">
        <f>'📊 PM Family Summary'!K14</f>
        <v>Targeted Dev Plan</v>
      </c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</row>
    <row r="28" spans="1:24" ht="18" customHeight="1" x14ac:dyDescent="0.35">
      <c r="A28" s="78"/>
      <c r="B28" s="87"/>
      <c r="C28" s="87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</row>
    <row r="29" spans="1:24" ht="18" customHeight="1" x14ac:dyDescent="0.35">
      <c r="A29" s="78" t="s">
        <v>214</v>
      </c>
      <c r="B29" s="87" t="s">
        <v>245</v>
      </c>
      <c r="C29" s="87" t="s">
        <v>246</v>
      </c>
      <c r="D29" s="78" t="s">
        <v>247</v>
      </c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</row>
    <row r="30" spans="1:24" ht="18" customHeight="1" x14ac:dyDescent="0.35">
      <c r="A30" s="78" t="s">
        <v>222</v>
      </c>
      <c r="B30" s="102">
        <f>IFERROR(AVERAGEIF('📊 PM Family Summary'!E5:E14,A30,'📊 PM Family Summary'!G5:G14),0)</f>
        <v>3.8</v>
      </c>
      <c r="C30" s="102">
        <f>IFERROR(AVERAGEIF('📊 PM Family Summary'!E5:E14,A30,'📊 PM Family Summary'!H5:H14),0)</f>
        <v>2.2999999999999998</v>
      </c>
      <c r="D30" s="102">
        <f t="shared" ref="D30:D35" si="0">IFERROR(B30-C30,0)</f>
        <v>1.5</v>
      </c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</row>
    <row r="31" spans="1:24" ht="18" customHeight="1" x14ac:dyDescent="0.35">
      <c r="A31" s="78" t="s">
        <v>224</v>
      </c>
      <c r="B31" s="102">
        <f>IFERROR(AVERAGEIF('📊 PM Family Summary'!E5:E14,A31,'📊 PM Family Summary'!G5:G14),0)</f>
        <v>4.3499999999999996</v>
      </c>
      <c r="C31" s="102">
        <f>IFERROR(AVERAGEIF('📊 PM Family Summary'!E5:E14,A31,'📊 PM Family Summary'!H5:H14),0)</f>
        <v>4.4000000000000004</v>
      </c>
      <c r="D31" s="102">
        <f t="shared" si="0"/>
        <v>-5.0000000000000711E-2</v>
      </c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</row>
    <row r="32" spans="1:24" ht="18" customHeight="1" x14ac:dyDescent="0.35">
      <c r="A32" s="78" t="s">
        <v>227</v>
      </c>
      <c r="B32" s="102">
        <f>IFERROR(AVERAGEIF('📊 PM Family Summary'!E5:E14,A32,'📊 PM Family Summary'!G5:G14),0)</f>
        <v>3.4</v>
      </c>
      <c r="C32" s="102">
        <f>IFERROR(AVERAGEIF('📊 PM Family Summary'!E5:E14,A32,'📊 PM Family Summary'!H5:H14),0)</f>
        <v>1.7</v>
      </c>
      <c r="D32" s="102">
        <f t="shared" si="0"/>
        <v>1.7</v>
      </c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</row>
    <row r="33" spans="1:24" ht="18" customHeight="1" x14ac:dyDescent="0.35">
      <c r="A33" s="78" t="s">
        <v>230</v>
      </c>
      <c r="B33" s="102">
        <f>IFERROR(AVERAGEIF('📊 PM Family Summary'!E5:E14,A33,'📊 PM Family Summary'!G5:G14),0)</f>
        <v>4.3499999999999996</v>
      </c>
      <c r="C33" s="102">
        <f>IFERROR(AVERAGEIF('📊 PM Family Summary'!E5:E14,A33,'📊 PM Family Summary'!H5:H14),0)</f>
        <v>4</v>
      </c>
      <c r="D33" s="102">
        <f t="shared" si="0"/>
        <v>0.34999999999999964</v>
      </c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</row>
    <row r="34" spans="1:24" ht="18" customHeight="1" x14ac:dyDescent="0.35">
      <c r="A34" s="78" t="s">
        <v>232</v>
      </c>
      <c r="B34" s="102">
        <f>IFERROR(AVERAGEIF('📊 PM Family Summary'!E5:E14,A34,'📊 PM Family Summary'!G5:G14),0)</f>
        <v>3</v>
      </c>
      <c r="C34" s="102">
        <f>IFERROR(AVERAGEIF('📊 PM Family Summary'!E5:E14,A34,'📊 PM Family Summary'!H5:H14),0)</f>
        <v>1.6</v>
      </c>
      <c r="D34" s="102">
        <f t="shared" si="0"/>
        <v>1.4</v>
      </c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</row>
    <row r="35" spans="1:24" ht="18" customHeight="1" x14ac:dyDescent="0.35">
      <c r="A35" s="78" t="s">
        <v>234</v>
      </c>
      <c r="B35" s="102">
        <f>IFERROR(AVERAGEIF('📊 PM Family Summary'!E5:E14,A35,'📊 PM Family Summary'!G5:G14),0)</f>
        <v>4.2</v>
      </c>
      <c r="C35" s="102">
        <f>IFERROR(AVERAGEIF('📊 PM Family Summary'!E5:E14,A35,'📊 PM Family Summary'!H5:H14),0)</f>
        <v>3.4</v>
      </c>
      <c r="D35" s="102">
        <f t="shared" si="0"/>
        <v>0.80000000000000027</v>
      </c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</row>
    <row r="36" spans="1:24" ht="14.25" customHeight="1" x14ac:dyDescent="0.35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</row>
    <row r="37" spans="1:24" ht="21.75" customHeight="1" x14ac:dyDescent="0.35">
      <c r="A37" s="78" t="s">
        <v>244</v>
      </c>
      <c r="B37" s="78" t="s">
        <v>245</v>
      </c>
      <c r="C37" s="78" t="s">
        <v>246</v>
      </c>
      <c r="D37" s="78" t="s">
        <v>247</v>
      </c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</row>
    <row r="38" spans="1:24" ht="18" customHeight="1" x14ac:dyDescent="0.35">
      <c r="A38" s="78" t="s">
        <v>226</v>
      </c>
      <c r="B38" s="102">
        <f>IFERROR(AVERAGEIF('📊 PM Family Summary'!D5:D14,A38,'📊 PM Family Summary'!G5:G14),0)</f>
        <v>3</v>
      </c>
      <c r="C38" s="102">
        <f>IFERROR(AVERAGEIF('📊 PM Family Summary'!D5:D14,A38,'📊 PM Family Summary'!H5:H14),0)</f>
        <v>1.3</v>
      </c>
      <c r="D38" s="102">
        <f>IFERROR(B38-C38,0)</f>
        <v>1.7</v>
      </c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</row>
    <row r="39" spans="1:24" ht="18" customHeight="1" x14ac:dyDescent="0.35">
      <c r="A39" s="78" t="s">
        <v>221</v>
      </c>
      <c r="B39" s="102">
        <f>IFERROR(AVERAGEIF('📊 PM Family Summary'!D5:D14,A39,'📊 PM Family Summary'!G5:G14),0)</f>
        <v>3.7999999999999994</v>
      </c>
      <c r="C39" s="102">
        <f>IFERROR(AVERAGEIF('📊 PM Family Summary'!D5:D14,A39,'📊 PM Family Summary'!H5:H14),0)</f>
        <v>2.3333333333333335</v>
      </c>
      <c r="D39" s="102">
        <f>IFERROR(B39-C39,0)</f>
        <v>1.4666666666666659</v>
      </c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</row>
    <row r="40" spans="1:24" ht="18" customHeight="1" x14ac:dyDescent="0.35">
      <c r="A40" s="78" t="s">
        <v>61</v>
      </c>
      <c r="B40" s="102">
        <f>IFERROR(AVERAGEIF('📊 PM Family Summary'!D5:D14,A40,'📊 PM Family Summary'!G5:G14),0)</f>
        <v>4.2</v>
      </c>
      <c r="C40" s="102">
        <f>IFERROR(AVERAGEIF('📊 PM Family Summary'!D5:D14,A40,'📊 PM Family Summary'!H5:H14),0)</f>
        <v>3.6999999999999997</v>
      </c>
      <c r="D40" s="102">
        <f>IFERROR(B40-C40,0)</f>
        <v>0.50000000000000044</v>
      </c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</row>
    <row r="41" spans="1:24" ht="18" customHeight="1" x14ac:dyDescent="0.35">
      <c r="A41" s="78" t="s">
        <v>229</v>
      </c>
      <c r="B41" s="102">
        <f>IFERROR(AVERAGEIF('📊 PM Family Summary'!D5:D14,A41,'📊 PM Family Summary'!G5:G14),0)</f>
        <v>4.5</v>
      </c>
      <c r="C41" s="102">
        <f>IFERROR(AVERAGEIF('📊 PM Family Summary'!D5:D14,A41,'📊 PM Family Summary'!H5:H14),0)</f>
        <v>4.55</v>
      </c>
      <c r="D41" s="102">
        <f>IFERROR(B41-C41,0)</f>
        <v>-4.9999999999999822E-2</v>
      </c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</row>
    <row r="42" spans="1:24" ht="18" customHeight="1" x14ac:dyDescent="0.3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</row>
    <row r="43" spans="1:24" ht="18" customHeight="1" x14ac:dyDescent="0.3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</row>
    <row r="44" spans="1:24" ht="14.25" customHeight="1" x14ac:dyDescent="0.3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</row>
    <row r="45" spans="1:24" ht="14.25" customHeight="1" x14ac:dyDescent="0.3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</row>
    <row r="46" spans="1:24" ht="18" customHeight="1" x14ac:dyDescent="0.3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</row>
    <row r="47" spans="1:24" ht="14.25" customHeight="1" x14ac:dyDescent="0.35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</row>
    <row r="48" spans="1:24" ht="18" customHeight="1" x14ac:dyDescent="0.35">
      <c r="A48" s="78"/>
      <c r="B48" s="87"/>
      <c r="C48" s="87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</row>
    <row r="49" spans="1:24" ht="18" customHeight="1" x14ac:dyDescent="0.35">
      <c r="A49" s="78"/>
      <c r="B49" s="87"/>
      <c r="C49" s="87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</row>
    <row r="50" spans="1:24" ht="18" customHeight="1" x14ac:dyDescent="0.35">
      <c r="A50" s="78"/>
      <c r="B50" s="87"/>
      <c r="C50" s="87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</row>
    <row r="51" spans="1:24" ht="18" customHeight="1" x14ac:dyDescent="0.35">
      <c r="A51" s="78"/>
      <c r="B51" s="87"/>
      <c r="C51" s="87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</row>
    <row r="52" spans="1:24" ht="18" customHeight="1" x14ac:dyDescent="0.35">
      <c r="A52" s="78"/>
      <c r="B52" s="87"/>
      <c r="C52" s="87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</row>
    <row r="53" spans="1:24" ht="18" customHeight="1" x14ac:dyDescent="0.35">
      <c r="A53" s="78"/>
      <c r="B53" s="87"/>
      <c r="C53" s="87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</row>
    <row r="54" spans="1:24" ht="14.25" customHeight="1" x14ac:dyDescent="0.3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</row>
    <row r="55" spans="1:24" ht="14.25" customHeight="1" x14ac:dyDescent="0.3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</row>
    <row r="56" spans="1:24" ht="18" customHeight="1" x14ac:dyDescent="0.3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</row>
    <row r="57" spans="1:24" ht="14.25" customHeight="1" x14ac:dyDescent="0.3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</row>
    <row r="58" spans="1:24" ht="18" customHeight="1" x14ac:dyDescent="0.35">
      <c r="A58" s="78"/>
      <c r="B58" s="87"/>
      <c r="C58" s="87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</row>
    <row r="59" spans="1:24" ht="18" customHeight="1" x14ac:dyDescent="0.35">
      <c r="A59" s="78"/>
      <c r="B59" s="87"/>
      <c r="C59" s="87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</row>
    <row r="60" spans="1:24" ht="18" customHeight="1" x14ac:dyDescent="0.35">
      <c r="A60" s="78"/>
      <c r="B60" s="87"/>
      <c r="C60" s="87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</row>
    <row r="61" spans="1:24" ht="18" customHeight="1" x14ac:dyDescent="0.35">
      <c r="A61" s="78"/>
      <c r="B61" s="87"/>
      <c r="C61" s="87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</row>
    <row r="62" spans="1:24" ht="14.25" customHeight="1" x14ac:dyDescent="0.3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</row>
    <row r="63" spans="1:24" ht="14.25" customHeight="1" x14ac:dyDescent="0.3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</row>
    <row r="64" spans="1:24" ht="14.25" customHeight="1" x14ac:dyDescent="0.3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</row>
    <row r="65" spans="1:24" ht="14.25" customHeight="1" x14ac:dyDescent="0.3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</row>
    <row r="66" spans="1:24" ht="14.25" customHeight="1" x14ac:dyDescent="0.3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</row>
    <row r="67" spans="1:24" ht="14.25" customHeight="1" x14ac:dyDescent="0.3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</row>
    <row r="68" spans="1:24" ht="14.25" customHeight="1" x14ac:dyDescent="0.3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</row>
    <row r="69" spans="1:24" ht="14.25" customHeight="1" x14ac:dyDescent="0.3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</row>
    <row r="70" spans="1:24" ht="14.25" customHeight="1" x14ac:dyDescent="0.3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</row>
    <row r="71" spans="1:24" ht="14.25" customHeight="1" x14ac:dyDescent="0.3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</row>
    <row r="72" spans="1:24" ht="14.25" customHeight="1" x14ac:dyDescent="0.3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</row>
    <row r="73" spans="1:24" ht="14.25" customHeight="1" x14ac:dyDescent="0.3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</row>
    <row r="74" spans="1:24" ht="14.25" customHeight="1" x14ac:dyDescent="0.3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</row>
    <row r="75" spans="1:24" ht="14.25" customHeight="1" x14ac:dyDescent="0.3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</row>
    <row r="76" spans="1:24" ht="14.25" customHeight="1" x14ac:dyDescent="0.3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</row>
    <row r="77" spans="1:24" ht="14.25" customHeight="1" x14ac:dyDescent="0.3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</row>
    <row r="78" spans="1:24" ht="14.25" customHeight="1" x14ac:dyDescent="0.3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</row>
    <row r="79" spans="1:24" ht="14.25" customHeight="1" x14ac:dyDescent="0.3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</row>
  </sheetData>
  <mergeCells count="20">
    <mergeCell ref="A10:L10"/>
    <mergeCell ref="A16:L16"/>
    <mergeCell ref="K5:L5"/>
    <mergeCell ref="A7:B7"/>
    <mergeCell ref="C7:D7"/>
    <mergeCell ref="A8:B8"/>
    <mergeCell ref="C8:D8"/>
    <mergeCell ref="A5:B5"/>
    <mergeCell ref="C5:D5"/>
    <mergeCell ref="E5:F5"/>
    <mergeCell ref="G5:H5"/>
    <mergeCell ref="I5:J5"/>
    <mergeCell ref="A1:L1"/>
    <mergeCell ref="A2:L2"/>
    <mergeCell ref="A4:B4"/>
    <mergeCell ref="C4:D4"/>
    <mergeCell ref="E4:F4"/>
    <mergeCell ref="G4:H4"/>
    <mergeCell ref="I4:J4"/>
    <mergeCell ref="K4:L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3"/>
  <sheetViews>
    <sheetView zoomScaleNormal="100" workbookViewId="0">
      <selection sqref="A1:M1"/>
    </sheetView>
  </sheetViews>
  <sheetFormatPr defaultColWidth="8.6328125" defaultRowHeight="14.5" x14ac:dyDescent="0.35"/>
  <cols>
    <col min="1" max="1" width="18" customWidth="1"/>
    <col min="2" max="2" width="20" customWidth="1"/>
    <col min="3" max="5" width="16" customWidth="1"/>
    <col min="6" max="6" width="14" customWidth="1"/>
    <col min="7" max="7" width="22" customWidth="1"/>
    <col min="8" max="8" width="14" customWidth="1"/>
    <col min="9" max="9" width="20" customWidth="1"/>
    <col min="10" max="10" width="22" customWidth="1"/>
  </cols>
  <sheetData>
    <row r="1" spans="1:13" ht="30" customHeight="1" x14ac:dyDescent="0.35">
      <c r="A1" s="189" t="s">
        <v>267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</row>
    <row r="2" spans="1:13" ht="15.75" customHeight="1" x14ac:dyDescent="0.35">
      <c r="A2" s="173" t="s">
        <v>268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</row>
    <row r="3" spans="1:13" ht="7.5" customHeight="1" x14ac:dyDescent="0.35"/>
    <row r="4" spans="1:13" ht="21.75" customHeight="1" x14ac:dyDescent="0.35">
      <c r="A4" s="171" t="s">
        <v>269</v>
      </c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</row>
    <row r="5" spans="1:13" ht="39.75" customHeight="1" x14ac:dyDescent="0.35">
      <c r="A5" s="120" t="s">
        <v>68</v>
      </c>
      <c r="B5" s="120" t="s">
        <v>212</v>
      </c>
      <c r="C5" s="120" t="s">
        <v>213</v>
      </c>
      <c r="D5" s="120" t="s">
        <v>214</v>
      </c>
      <c r="E5" s="120" t="s">
        <v>215</v>
      </c>
      <c r="F5" s="120" t="s">
        <v>216</v>
      </c>
      <c r="G5" s="120" t="s">
        <v>217</v>
      </c>
      <c r="H5" s="120" t="s">
        <v>218</v>
      </c>
      <c r="I5" s="120" t="s">
        <v>80</v>
      </c>
      <c r="J5" s="120" t="s">
        <v>270</v>
      </c>
    </row>
    <row r="6" spans="1:13" ht="15.75" customHeight="1" x14ac:dyDescent="0.35">
      <c r="A6" s="111">
        <v>1</v>
      </c>
      <c r="B6" s="111" t="str">
        <f>'📊 PM Family Summary'!C5</f>
        <v>Ahmed Raza</v>
      </c>
      <c r="C6" s="111" t="str">
        <f>'📊 PM Family Summary'!D5</f>
        <v>Manager</v>
      </c>
      <c r="D6" s="111" t="str">
        <f>'📊 PM Family Summary'!E5</f>
        <v>ISD</v>
      </c>
      <c r="E6" s="111">
        <f>'📊 PM Family Summary'!F5</f>
        <v>0</v>
      </c>
      <c r="F6" s="113">
        <f>'📊 PM Family Summary'!G5</f>
        <v>3.8</v>
      </c>
      <c r="G6" s="113">
        <f>'📊 PM Family Summary'!H5</f>
        <v>3.1</v>
      </c>
      <c r="H6" s="113">
        <f>'📊 PM Family Summary'!I5</f>
        <v>0.7</v>
      </c>
      <c r="I6" s="82" t="str">
        <f>'📊 PM Family Summary'!J5</f>
        <v>🟡 Developing</v>
      </c>
      <c r="J6" s="111" t="str">
        <f>'📊 PM Family Summary'!K5</f>
        <v>Targeted Dev Plan</v>
      </c>
    </row>
    <row r="7" spans="1:13" ht="15.75" customHeight="1" x14ac:dyDescent="0.35">
      <c r="A7" s="114">
        <v>2</v>
      </c>
      <c r="B7" s="114" t="str">
        <f>'📊 PM Family Summary'!C6</f>
        <v>Sara Qureshi</v>
      </c>
      <c r="C7" s="114" t="str">
        <f>'📊 PM Family Summary'!D6</f>
        <v>Head</v>
      </c>
      <c r="D7" s="114" t="str">
        <f>'📊 PM Family Summary'!E6</f>
        <v>IP</v>
      </c>
      <c r="E7" s="114">
        <f>'📊 PM Family Summary'!F6</f>
        <v>0</v>
      </c>
      <c r="F7" s="116">
        <f>'📊 PM Family Summary'!G6</f>
        <v>4.2</v>
      </c>
      <c r="G7" s="116">
        <f>'📊 PM Family Summary'!H6</f>
        <v>4.2</v>
      </c>
      <c r="H7" s="116">
        <f>'📊 PM Family Summary'!I6</f>
        <v>0</v>
      </c>
      <c r="I7" s="83" t="str">
        <f>'📊 PM Family Summary'!J6</f>
        <v>🟢 No Gap</v>
      </c>
      <c r="J7" s="114" t="str">
        <f>'📊 PM Family Summary'!K6</f>
        <v>No Action Needed</v>
      </c>
    </row>
    <row r="8" spans="1:13" ht="15.75" customHeight="1" x14ac:dyDescent="0.35">
      <c r="A8" s="111">
        <v>3</v>
      </c>
      <c r="B8" s="111" t="str">
        <f>'📊 PM Family Summary'!C7</f>
        <v>Bilal Khan</v>
      </c>
      <c r="C8" s="111" t="str">
        <f>'📊 PM Family Summary'!D7</f>
        <v>In-charge/DM</v>
      </c>
      <c r="D8" s="111" t="str">
        <f>'📊 PM Family Summary'!E7</f>
        <v>EPC</v>
      </c>
      <c r="E8" s="111">
        <f>'📊 PM Family Summary'!F7</f>
        <v>0</v>
      </c>
      <c r="F8" s="113">
        <f>'📊 PM Family Summary'!G7</f>
        <v>3</v>
      </c>
      <c r="G8" s="113">
        <f>'📊 PM Family Summary'!H7</f>
        <v>1</v>
      </c>
      <c r="H8" s="113">
        <f>'📊 PM Family Summary'!I7</f>
        <v>2</v>
      </c>
      <c r="I8" s="118" t="str">
        <f>'📊 PM Family Summary'!J7</f>
        <v>🟠 Needs Focus</v>
      </c>
      <c r="J8" s="111" t="str">
        <f>'📊 PM Family Summary'!K7</f>
        <v>Structured Dev Plan</v>
      </c>
    </row>
    <row r="9" spans="1:13" ht="15.75" customHeight="1" x14ac:dyDescent="0.35">
      <c r="A9" s="114">
        <v>4</v>
      </c>
      <c r="B9" s="114" t="str">
        <f>'📊 PM Family Summary'!C8</f>
        <v>Ayesha Noor</v>
      </c>
      <c r="C9" s="114" t="str">
        <f>'📊 PM Family Summary'!D8</f>
        <v>Chief</v>
      </c>
      <c r="D9" s="114" t="str">
        <f>'📊 PM Family Summary'!E8</f>
        <v>Corporate</v>
      </c>
      <c r="E9" s="114">
        <f>'📊 PM Family Summary'!F8</f>
        <v>0</v>
      </c>
      <c r="F9" s="116">
        <f>'📊 PM Family Summary'!G8</f>
        <v>4.5</v>
      </c>
      <c r="G9" s="116">
        <f>'📊 PM Family Summary'!H8</f>
        <v>4.5</v>
      </c>
      <c r="H9" s="116">
        <f>'📊 PM Family Summary'!I8</f>
        <v>0</v>
      </c>
      <c r="I9" s="83" t="str">
        <f>'📊 PM Family Summary'!J8</f>
        <v>🟢 No Gap</v>
      </c>
      <c r="J9" s="114" t="str">
        <f>'📊 PM Family Summary'!K8</f>
        <v>No Action Needed</v>
      </c>
    </row>
    <row r="10" spans="1:13" ht="15.75" customHeight="1" x14ac:dyDescent="0.35">
      <c r="A10" s="111">
        <v>5</v>
      </c>
      <c r="B10" s="111" t="str">
        <f>'📊 PM Family Summary'!C9</f>
        <v>Omar Farooq</v>
      </c>
      <c r="C10" s="111" t="str">
        <f>'📊 PM Family Summary'!D9</f>
        <v>In-charge/DM</v>
      </c>
      <c r="D10" s="111" t="str">
        <f>'📊 PM Family Summary'!E9</f>
        <v>Cluster</v>
      </c>
      <c r="E10" s="111">
        <f>'📊 PM Family Summary'!F9</f>
        <v>0</v>
      </c>
      <c r="F10" s="113">
        <f>'📊 PM Family Summary'!G9</f>
        <v>3</v>
      </c>
      <c r="G10" s="113">
        <f>'📊 PM Family Summary'!H9</f>
        <v>1.6</v>
      </c>
      <c r="H10" s="113">
        <f>'📊 PM Family Summary'!I9</f>
        <v>1.4</v>
      </c>
      <c r="I10" s="118" t="str">
        <f>'📊 PM Family Summary'!J9</f>
        <v>🟠 Needs Focus</v>
      </c>
      <c r="J10" s="111" t="str">
        <f>'📊 PM Family Summary'!K9</f>
        <v>Structured Dev Plan</v>
      </c>
    </row>
    <row r="11" spans="1:13" ht="15.75" customHeight="1" x14ac:dyDescent="0.35">
      <c r="A11" s="114">
        <v>6</v>
      </c>
      <c r="B11" s="114" t="str">
        <f>'📊 PM Family Summary'!C10</f>
        <v>Fatima Ali</v>
      </c>
      <c r="C11" s="114" t="str">
        <f>'📊 PM Family Summary'!D10</f>
        <v>Head</v>
      </c>
      <c r="D11" s="114" t="str">
        <f>'📊 PM Family Summary'!E10</f>
        <v>Construction</v>
      </c>
      <c r="E11" s="114">
        <f>'📊 PM Family Summary'!F10</f>
        <v>0</v>
      </c>
      <c r="F11" s="116">
        <f>'📊 PM Family Summary'!G10</f>
        <v>4.2</v>
      </c>
      <c r="G11" s="116">
        <f>'📊 PM Family Summary'!H10</f>
        <v>3.4</v>
      </c>
      <c r="H11" s="116">
        <f>'📊 PM Family Summary'!I10</f>
        <v>0.8</v>
      </c>
      <c r="I11" s="82" t="str">
        <f>'📊 PM Family Summary'!J10</f>
        <v>🟡 Developing</v>
      </c>
      <c r="J11" s="114" t="str">
        <f>'📊 PM Family Summary'!K10</f>
        <v>Targeted Dev Plan</v>
      </c>
    </row>
    <row r="12" spans="1:13" ht="15.75" customHeight="1" x14ac:dyDescent="0.35">
      <c r="A12" s="111">
        <v>7</v>
      </c>
      <c r="B12" s="111" t="str">
        <f>'📊 PM Family Summary'!C11</f>
        <v>Hamza Sheikh</v>
      </c>
      <c r="C12" s="111" t="str">
        <f>'📊 PM Family Summary'!D11</f>
        <v>Manager</v>
      </c>
      <c r="D12" s="111" t="str">
        <f>'📊 PM Family Summary'!E11</f>
        <v>ISD</v>
      </c>
      <c r="E12" s="111">
        <f>'📊 PM Family Summary'!F11</f>
        <v>0</v>
      </c>
      <c r="F12" s="113">
        <f>'📊 PM Family Summary'!G11</f>
        <v>3.8</v>
      </c>
      <c r="G12" s="113">
        <f>'📊 PM Family Summary'!H11</f>
        <v>1.5</v>
      </c>
      <c r="H12" s="113">
        <f>'📊 PM Family Summary'!I11</f>
        <v>2.2999999999999998</v>
      </c>
      <c r="I12" s="119" t="str">
        <f>'📊 PM Family Summary'!J11</f>
        <v>🔴 Critical</v>
      </c>
      <c r="J12" s="111" t="str">
        <f>'📊 PM Family Summary'!K11</f>
        <v>Urgent Intervention</v>
      </c>
    </row>
    <row r="13" spans="1:13" ht="15.75" customHeight="1" x14ac:dyDescent="0.35">
      <c r="A13" s="114">
        <v>8</v>
      </c>
      <c r="B13" s="114" t="str">
        <f>'📊 PM Family Summary'!C12</f>
        <v>Zainab Malik</v>
      </c>
      <c r="C13" s="114" t="str">
        <f>'📊 PM Family Summary'!D12</f>
        <v>Chief</v>
      </c>
      <c r="D13" s="114" t="str">
        <f>'📊 PM Family Summary'!E12</f>
        <v>IP</v>
      </c>
      <c r="E13" s="114">
        <f>'📊 PM Family Summary'!F12</f>
        <v>0</v>
      </c>
      <c r="F13" s="116">
        <f>'📊 PM Family Summary'!G12</f>
        <v>4.5</v>
      </c>
      <c r="G13" s="116">
        <f>'📊 PM Family Summary'!H12</f>
        <v>4.5999999999999996</v>
      </c>
      <c r="H13" s="116">
        <f>'📊 PM Family Summary'!I12</f>
        <v>-0.1</v>
      </c>
      <c r="I13" s="83" t="str">
        <f>'📊 PM Family Summary'!J12</f>
        <v>🟢 No Gap</v>
      </c>
      <c r="J13" s="114" t="str">
        <f>'📊 PM Family Summary'!K12</f>
        <v>No Action Needed</v>
      </c>
    </row>
    <row r="14" spans="1:13" ht="15.75" customHeight="1" x14ac:dyDescent="0.35">
      <c r="A14" s="111">
        <v>9</v>
      </c>
      <c r="B14" s="111" t="str">
        <f>'📊 PM Family Summary'!C13</f>
        <v>Usman Tariq</v>
      </c>
      <c r="C14" s="111" t="str">
        <f>'📊 PM Family Summary'!D13</f>
        <v>Manager</v>
      </c>
      <c r="D14" s="111" t="str">
        <f>'📊 PM Family Summary'!E13</f>
        <v>EPC</v>
      </c>
      <c r="E14" s="111">
        <f>'📊 PM Family Summary'!F13</f>
        <v>0</v>
      </c>
      <c r="F14" s="113">
        <f>'📊 PM Family Summary'!G13</f>
        <v>3.8</v>
      </c>
      <c r="G14" s="113">
        <f>'📊 PM Family Summary'!H13</f>
        <v>2.4</v>
      </c>
      <c r="H14" s="113">
        <f>'📊 PM Family Summary'!I13</f>
        <v>1.4</v>
      </c>
      <c r="I14" s="118" t="str">
        <f>'📊 PM Family Summary'!J13</f>
        <v>🟠 Needs Focus</v>
      </c>
      <c r="J14" s="111" t="str">
        <f>'📊 PM Family Summary'!K13</f>
        <v>Structured Dev Plan</v>
      </c>
    </row>
    <row r="15" spans="1:13" ht="15.75" customHeight="1" x14ac:dyDescent="0.35">
      <c r="A15" s="114">
        <v>10</v>
      </c>
      <c r="B15" s="114" t="str">
        <f>'📊 PM Family Summary'!C14</f>
        <v>Nadia Iqbal</v>
      </c>
      <c r="C15" s="114" t="str">
        <f>'📊 PM Family Summary'!D14</f>
        <v>Head</v>
      </c>
      <c r="D15" s="114" t="str">
        <f>'📊 PM Family Summary'!E14</f>
        <v>Corporate</v>
      </c>
      <c r="E15" s="114">
        <f>'📊 PM Family Summary'!F14</f>
        <v>0</v>
      </c>
      <c r="F15" s="116">
        <f>'📊 PM Family Summary'!G14</f>
        <v>4.2</v>
      </c>
      <c r="G15" s="116">
        <f>'📊 PM Family Summary'!H14</f>
        <v>3.5</v>
      </c>
      <c r="H15" s="116">
        <f>'📊 PM Family Summary'!I14</f>
        <v>0.7</v>
      </c>
      <c r="I15" s="82" t="str">
        <f>'📊 PM Family Summary'!J14</f>
        <v>🟡 Developing</v>
      </c>
      <c r="J15" s="114" t="str">
        <f>'📊 PM Family Summary'!K14</f>
        <v>Targeted Dev Plan</v>
      </c>
    </row>
    <row r="17" spans="1:10" ht="18" customHeight="1" x14ac:dyDescent="0.35">
      <c r="A17" s="121" t="s">
        <v>271</v>
      </c>
      <c r="B17" s="121"/>
      <c r="C17" s="121"/>
      <c r="D17" s="121"/>
      <c r="E17" s="121"/>
      <c r="F17" s="122">
        <f>ROUND(AVERAGE(F6:F15),1)</f>
        <v>3.9</v>
      </c>
      <c r="G17" s="122">
        <f>ROUND(AVERAGE(G6:G15),1)</f>
        <v>3</v>
      </c>
      <c r="H17" s="122">
        <f>ROUND(F17-G17,1)</f>
        <v>0.9</v>
      </c>
      <c r="I17" s="1" t="str">
        <f>IF(H17&lt;=0,"🟢 No Gap",IF(H17&lt;=1,"🟡 Developing",IF(H17&lt;=2,"🟠 Needs Focus","🔴 Critical")))</f>
        <v>🟡 Developing</v>
      </c>
      <c r="J17" s="121"/>
    </row>
    <row r="19" spans="1:10" ht="9.75" customHeight="1" x14ac:dyDescent="0.35"/>
    <row r="20" spans="1:10" ht="21.75" customHeight="1" x14ac:dyDescent="0.35">
      <c r="A20" s="171" t="s">
        <v>272</v>
      </c>
      <c r="B20" s="171"/>
      <c r="C20" s="171"/>
      <c r="D20" s="171"/>
      <c r="E20" s="171"/>
      <c r="F20" s="171"/>
      <c r="G20" s="171"/>
      <c r="H20" s="171"/>
      <c r="I20" s="171"/>
      <c r="J20" s="171"/>
    </row>
    <row r="21" spans="1:10" ht="19.5" customHeight="1" x14ac:dyDescent="0.35">
      <c r="A21" s="121" t="s">
        <v>273</v>
      </c>
      <c r="B21" s="121" t="s">
        <v>274</v>
      </c>
      <c r="C21" s="121" t="s">
        <v>275</v>
      </c>
      <c r="D21" s="121" t="s">
        <v>276</v>
      </c>
    </row>
    <row r="22" spans="1:10" ht="19.5" customHeight="1" x14ac:dyDescent="0.35">
      <c r="A22" s="83" t="s">
        <v>254</v>
      </c>
      <c r="B22" s="83">
        <f>COUNTIF('📊 PM Family Summary'!J5:J14,"🟢 No Gap")</f>
        <v>3</v>
      </c>
      <c r="C22" s="123" t="str">
        <f>IFERROR(ROUND(B22/10*100,0)&amp;"%","")</f>
        <v>30%</v>
      </c>
      <c r="D22" s="123" t="s">
        <v>277</v>
      </c>
    </row>
    <row r="23" spans="1:10" ht="19.5" customHeight="1" x14ac:dyDescent="0.35">
      <c r="A23" s="82" t="s">
        <v>44</v>
      </c>
      <c r="B23" s="82">
        <f>COUNTIF('📊 PM Family Summary'!J5:J14,"🟡 Developing")</f>
        <v>3</v>
      </c>
      <c r="C23" s="124" t="str">
        <f>IFERROR(ROUND(B23/10*100,0)&amp;"%","")</f>
        <v>30%</v>
      </c>
      <c r="D23" s="124" t="s">
        <v>278</v>
      </c>
    </row>
    <row r="24" spans="1:10" ht="19.5" customHeight="1" x14ac:dyDescent="0.35">
      <c r="A24" s="118" t="s">
        <v>48</v>
      </c>
      <c r="B24" s="118">
        <f>COUNTIF('📊 PM Family Summary'!J5:J14,"🟠 Needs Focus")</f>
        <v>3</v>
      </c>
      <c r="C24" s="125" t="str">
        <f>IFERROR(ROUND(B24/10*100,0)&amp;"%","")</f>
        <v>30%</v>
      </c>
      <c r="D24" s="125" t="s">
        <v>279</v>
      </c>
    </row>
    <row r="25" spans="1:10" ht="19.5" customHeight="1" x14ac:dyDescent="0.35">
      <c r="A25" s="119" t="s">
        <v>52</v>
      </c>
      <c r="B25" s="119">
        <f>COUNTIF('📊 PM Family Summary'!J5:J14,"🔴 Critical")</f>
        <v>1</v>
      </c>
      <c r="C25" s="126" t="str">
        <f>IFERROR(ROUND(B25/10*100,0)&amp;"%","")</f>
        <v>10%</v>
      </c>
      <c r="D25" s="126" t="s">
        <v>280</v>
      </c>
    </row>
    <row r="27" spans="1:10" ht="9.75" customHeight="1" x14ac:dyDescent="0.35"/>
    <row r="28" spans="1:10" ht="21.75" customHeight="1" x14ac:dyDescent="0.35">
      <c r="A28" s="171" t="s">
        <v>281</v>
      </c>
      <c r="B28" s="171"/>
      <c r="C28" s="171"/>
      <c r="D28" s="171"/>
      <c r="E28" s="171"/>
      <c r="F28" s="171"/>
      <c r="G28" s="171"/>
      <c r="H28" s="171"/>
      <c r="I28" s="171"/>
      <c r="J28" s="171"/>
    </row>
    <row r="29" spans="1:10" ht="30" customHeight="1" x14ac:dyDescent="0.35">
      <c r="A29" s="120" t="s">
        <v>214</v>
      </c>
      <c r="B29" s="120" t="s">
        <v>241</v>
      </c>
      <c r="C29" s="120" t="s">
        <v>282</v>
      </c>
      <c r="D29" s="120" t="s">
        <v>283</v>
      </c>
      <c r="E29" s="120" t="s">
        <v>284</v>
      </c>
      <c r="F29" s="120" t="s">
        <v>80</v>
      </c>
      <c r="G29" s="120" t="s">
        <v>285</v>
      </c>
    </row>
    <row r="30" spans="1:10" ht="15.75" customHeight="1" x14ac:dyDescent="0.35">
      <c r="A30" s="111" t="s">
        <v>222</v>
      </c>
      <c r="B30" s="111">
        <f>IFERROR(COUNTIF('📊 PM Family Summary'!E5:E14,"ISD"),"")</f>
        <v>2</v>
      </c>
      <c r="C30" s="111">
        <f>IFERROR(ROUND(AVERAGEIF('📊 PM Family Summary'!E5:E14,"ISD",'📊 PM Family Summary'!G5:G14),1),"")</f>
        <v>3.8</v>
      </c>
      <c r="D30" s="111">
        <f>IFERROR(ROUND(AVERAGEIF('📊 PM Family Summary'!E5:E14,"ISD",'📊 PM Family Summary'!H5:H14),1),"")</f>
        <v>2.2999999999999998</v>
      </c>
      <c r="E30" s="111">
        <f t="shared" ref="E30:E35" si="0">IFERROR(ROUND(C30-D30,1),"")</f>
        <v>1.5</v>
      </c>
      <c r="F30" s="118" t="str">
        <f t="shared" ref="F30:F35" si="1">IF(E30="","—",IF(E30&lt;=0,"🟢 No Gap",IF(E30&lt;=1,"🟡 Developing",IF(E30&lt;=2,"🟠 Needs Focus","🔴 Critical"))))</f>
        <v>🟠 Needs Focus</v>
      </c>
      <c r="G30" s="127" t="str">
        <f t="shared" ref="G30:G35" si="2">IF(F30="🟢 No Gap","No Action",IF(F30="🟡 Developing","Targeted Plan",IF(F30="🟠 Needs Focus","Structured Plan","Urgent Intervention")))</f>
        <v>Structured Plan</v>
      </c>
    </row>
    <row r="31" spans="1:10" ht="15.75" customHeight="1" x14ac:dyDescent="0.35">
      <c r="A31" s="114" t="s">
        <v>224</v>
      </c>
      <c r="B31" s="114">
        <f>IFERROR(COUNTIF('📊 PM Family Summary'!E5:E14,"IP"),"")</f>
        <v>2</v>
      </c>
      <c r="C31" s="114">
        <f>IFERROR(ROUND(AVERAGEIF('📊 PM Family Summary'!E5:E14,"IP",'📊 PM Family Summary'!G5:G14),1),"")</f>
        <v>4.4000000000000004</v>
      </c>
      <c r="D31" s="114">
        <f>IFERROR(ROUND(AVERAGEIF('📊 PM Family Summary'!E5:E14,"IP",'📊 PM Family Summary'!H5:H14),1),"")</f>
        <v>4.4000000000000004</v>
      </c>
      <c r="E31" s="114">
        <f t="shared" si="0"/>
        <v>0</v>
      </c>
      <c r="F31" s="83" t="str">
        <f t="shared" si="1"/>
        <v>🟢 No Gap</v>
      </c>
      <c r="G31" s="127" t="str">
        <f t="shared" si="2"/>
        <v>No Action</v>
      </c>
    </row>
    <row r="32" spans="1:10" ht="15.75" customHeight="1" x14ac:dyDescent="0.35">
      <c r="A32" s="111" t="s">
        <v>227</v>
      </c>
      <c r="B32" s="111">
        <f>IFERROR(COUNTIF('📊 PM Family Summary'!E5:E14,"EPC"),"")</f>
        <v>2</v>
      </c>
      <c r="C32" s="111">
        <f>IFERROR(ROUND(AVERAGEIF('📊 PM Family Summary'!E5:E14,"EPC",'📊 PM Family Summary'!G5:G14),1),"")</f>
        <v>3.4</v>
      </c>
      <c r="D32" s="111">
        <f>IFERROR(ROUND(AVERAGEIF('📊 PM Family Summary'!E5:E14,"EPC",'📊 PM Family Summary'!H5:H14),1),"")</f>
        <v>1.7</v>
      </c>
      <c r="E32" s="111">
        <f t="shared" si="0"/>
        <v>1.7</v>
      </c>
      <c r="F32" s="118" t="str">
        <f t="shared" si="1"/>
        <v>🟠 Needs Focus</v>
      </c>
      <c r="G32" s="127" t="str">
        <f t="shared" si="2"/>
        <v>Structured Plan</v>
      </c>
    </row>
    <row r="33" spans="1:10" ht="15.75" customHeight="1" x14ac:dyDescent="0.35">
      <c r="A33" s="114" t="s">
        <v>230</v>
      </c>
      <c r="B33" s="114">
        <f>IFERROR(COUNTIF('📊 PM Family Summary'!E5:E14,"Corporate"),"")</f>
        <v>2</v>
      </c>
      <c r="C33" s="114">
        <f>IFERROR(ROUND(AVERAGEIF('📊 PM Family Summary'!E5:E14,"Corporate",'📊 PM Family Summary'!G5:G14),1),"")</f>
        <v>4.4000000000000004</v>
      </c>
      <c r="D33" s="114">
        <f>IFERROR(ROUND(AVERAGEIF('📊 PM Family Summary'!E5:E14,"Corporate",'📊 PM Family Summary'!H5:H14),1),"")</f>
        <v>4</v>
      </c>
      <c r="E33" s="114">
        <f t="shared" si="0"/>
        <v>0.4</v>
      </c>
      <c r="F33" s="82" t="str">
        <f t="shared" si="1"/>
        <v>🟡 Developing</v>
      </c>
      <c r="G33" s="127" t="str">
        <f t="shared" si="2"/>
        <v>Targeted Plan</v>
      </c>
    </row>
    <row r="34" spans="1:10" ht="15.75" customHeight="1" x14ac:dyDescent="0.35">
      <c r="A34" s="111" t="s">
        <v>232</v>
      </c>
      <c r="B34" s="111">
        <f>IFERROR(COUNTIF('📊 PM Family Summary'!E5:E14,"Cluster"),"")</f>
        <v>1</v>
      </c>
      <c r="C34" s="111">
        <f>IFERROR(ROUND(AVERAGEIF('📊 PM Family Summary'!E5:E14,"Cluster",'📊 PM Family Summary'!G5:G14),1),"")</f>
        <v>3</v>
      </c>
      <c r="D34" s="111">
        <f>IFERROR(ROUND(AVERAGEIF('📊 PM Family Summary'!E5:E14,"Cluster",'📊 PM Family Summary'!H5:H14),1),"")</f>
        <v>1.6</v>
      </c>
      <c r="E34" s="111">
        <f t="shared" si="0"/>
        <v>1.4</v>
      </c>
      <c r="F34" s="118" t="str">
        <f t="shared" si="1"/>
        <v>🟠 Needs Focus</v>
      </c>
      <c r="G34" s="127" t="str">
        <f t="shared" si="2"/>
        <v>Structured Plan</v>
      </c>
    </row>
    <row r="35" spans="1:10" ht="15.75" customHeight="1" x14ac:dyDescent="0.35">
      <c r="A35" s="114" t="s">
        <v>234</v>
      </c>
      <c r="B35" s="114">
        <f>IFERROR(COUNTIF('📊 PM Family Summary'!E5:E14,"Construction"),"")</f>
        <v>1</v>
      </c>
      <c r="C35" s="114">
        <f>IFERROR(ROUND(AVERAGEIF('📊 PM Family Summary'!E5:E14,"Construction",'📊 PM Family Summary'!G5:G14),1),"")</f>
        <v>4.2</v>
      </c>
      <c r="D35" s="114">
        <f>IFERROR(ROUND(AVERAGEIF('📊 PM Family Summary'!E5:E14,"Construction",'📊 PM Family Summary'!H5:H14),1),"")</f>
        <v>3.4</v>
      </c>
      <c r="E35" s="114">
        <f t="shared" si="0"/>
        <v>0.8</v>
      </c>
      <c r="F35" s="82" t="str">
        <f t="shared" si="1"/>
        <v>🟡 Developing</v>
      </c>
      <c r="G35" s="127" t="str">
        <f t="shared" si="2"/>
        <v>Targeted Plan</v>
      </c>
    </row>
    <row r="37" spans="1:10" ht="9.75" customHeight="1" x14ac:dyDescent="0.35"/>
    <row r="38" spans="1:10" ht="21.75" customHeight="1" x14ac:dyDescent="0.35">
      <c r="A38" s="171" t="s">
        <v>286</v>
      </c>
      <c r="B38" s="171"/>
      <c r="C38" s="171"/>
      <c r="D38" s="171"/>
      <c r="E38" s="171"/>
      <c r="F38" s="171"/>
      <c r="G38" s="171"/>
      <c r="H38" s="171"/>
      <c r="I38" s="171"/>
      <c r="J38" s="171"/>
    </row>
    <row r="39" spans="1:10" ht="30" customHeight="1" x14ac:dyDescent="0.35">
      <c r="A39" s="120" t="s">
        <v>244</v>
      </c>
      <c r="B39" s="120" t="s">
        <v>241</v>
      </c>
      <c r="C39" s="120" t="s">
        <v>282</v>
      </c>
      <c r="D39" s="120" t="s">
        <v>283</v>
      </c>
      <c r="E39" s="120" t="s">
        <v>284</v>
      </c>
      <c r="F39" s="120" t="s">
        <v>80</v>
      </c>
      <c r="G39" s="120" t="s">
        <v>285</v>
      </c>
    </row>
    <row r="40" spans="1:10" ht="15.75" customHeight="1" x14ac:dyDescent="0.35">
      <c r="A40" s="111" t="s">
        <v>226</v>
      </c>
      <c r="B40" s="111">
        <f>IFERROR(COUNTIF('📊 PM Family Summary'!D5:D14,"In-charge/DM"),"")</f>
        <v>2</v>
      </c>
      <c r="C40" s="111">
        <f>IFERROR(ROUND(AVERAGEIF('📊 PM Family Summary'!D5:D14,"In-charge/DM",'📊 PM Family Summary'!G5:G14),1),"")</f>
        <v>3</v>
      </c>
      <c r="D40" s="111">
        <f>IFERROR(ROUND(AVERAGEIF('📊 PM Family Summary'!D5:D14,"In-charge/DM",'📊 PM Family Summary'!H5:H14),1),"")</f>
        <v>1.3</v>
      </c>
      <c r="E40" s="111">
        <f>IFERROR(ROUND(C40-D40,1),"")</f>
        <v>1.7</v>
      </c>
      <c r="F40" s="118" t="str">
        <f>IF(E40="","—",IF(E40&lt;=0,"🟢 No Gap",IF(E40&lt;=1,"🟡 Developing",IF(E40&lt;=2,"🟠 Needs Focus","🔴 Critical"))))</f>
        <v>🟠 Needs Focus</v>
      </c>
      <c r="G40" s="127" t="str">
        <f>IF(F40="🟢 No Gap","No Action",IF(F40="🟡 Developing","Targeted Plan",IF(F40="🟠 Needs Focus","Structured Plan","Urgent Intervention")))</f>
        <v>Structured Plan</v>
      </c>
    </row>
    <row r="41" spans="1:10" ht="15.75" customHeight="1" x14ac:dyDescent="0.35">
      <c r="A41" s="114" t="s">
        <v>221</v>
      </c>
      <c r="B41" s="114">
        <f>IFERROR(COUNTIF('📊 PM Family Summary'!D5:D14,"Manager"),"")</f>
        <v>3</v>
      </c>
      <c r="C41" s="114">
        <f>IFERROR(ROUND(AVERAGEIF('📊 PM Family Summary'!D5:D14,"Manager",'📊 PM Family Summary'!G5:G14),1),"")</f>
        <v>3.8</v>
      </c>
      <c r="D41" s="114">
        <f>IFERROR(ROUND(AVERAGEIF('📊 PM Family Summary'!D5:D14,"Manager",'📊 PM Family Summary'!H5:H14),1),"")</f>
        <v>2.2999999999999998</v>
      </c>
      <c r="E41" s="114">
        <f>IFERROR(ROUND(C41-D41,1),"")</f>
        <v>1.5</v>
      </c>
      <c r="F41" s="118" t="str">
        <f>IF(E41="","—",IF(E41&lt;=0,"🟢 No Gap",IF(E41&lt;=1,"🟡 Developing",IF(E41&lt;=2,"🟠 Needs Focus","🔴 Critical"))))</f>
        <v>🟠 Needs Focus</v>
      </c>
      <c r="G41" s="127" t="str">
        <f>IF(F41="🟢 No Gap","No Action",IF(F41="🟡 Developing","Targeted Plan",IF(F41="🟠 Needs Focus","Structured Plan","Urgent Intervention")))</f>
        <v>Structured Plan</v>
      </c>
    </row>
    <row r="42" spans="1:10" ht="15.75" customHeight="1" x14ac:dyDescent="0.35">
      <c r="A42" s="111" t="s">
        <v>61</v>
      </c>
      <c r="B42" s="111">
        <f>IFERROR(COUNTIF('📊 PM Family Summary'!D5:D14,"Head"),"")</f>
        <v>3</v>
      </c>
      <c r="C42" s="111">
        <f>IFERROR(ROUND(AVERAGEIF('📊 PM Family Summary'!D5:D14,"Head",'📊 PM Family Summary'!G5:G14),1),"")</f>
        <v>4.2</v>
      </c>
      <c r="D42" s="111">
        <f>IFERROR(ROUND(AVERAGEIF('📊 PM Family Summary'!D5:D14,"Head",'📊 PM Family Summary'!H5:H14),1),"")</f>
        <v>3.7</v>
      </c>
      <c r="E42" s="111">
        <f>IFERROR(ROUND(C42-D42,1),"")</f>
        <v>0.5</v>
      </c>
      <c r="F42" s="82" t="str">
        <f>IF(E42="","—",IF(E42&lt;=0,"🟢 No Gap",IF(E42&lt;=1,"🟡 Developing",IF(E42&lt;=2,"🟠 Needs Focus","🔴 Critical"))))</f>
        <v>🟡 Developing</v>
      </c>
      <c r="G42" s="127" t="str">
        <f>IF(F42="🟢 No Gap","No Action",IF(F42="🟡 Developing","Targeted Plan",IF(F42="🟠 Needs Focus","Structured Plan","Urgent Intervention")))</f>
        <v>Targeted Plan</v>
      </c>
    </row>
    <row r="43" spans="1:10" ht="15.75" customHeight="1" x14ac:dyDescent="0.35">
      <c r="A43" s="114" t="s">
        <v>229</v>
      </c>
      <c r="B43" s="114">
        <f>IFERROR(COUNTIF('📊 PM Family Summary'!D5:D14,"Chief"),"")</f>
        <v>2</v>
      </c>
      <c r="C43" s="114">
        <f>IFERROR(ROUND(AVERAGEIF('📊 PM Family Summary'!D5:D14,"Chief",'📊 PM Family Summary'!G5:G14),1),"")</f>
        <v>4.5</v>
      </c>
      <c r="D43" s="114">
        <f>IFERROR(ROUND(AVERAGEIF('📊 PM Family Summary'!D5:D14,"Chief",'📊 PM Family Summary'!H5:H14),1),"")</f>
        <v>4.5999999999999996</v>
      </c>
      <c r="E43" s="114">
        <f>IFERROR(ROUND(C43-D43,1),"")</f>
        <v>-0.1</v>
      </c>
      <c r="F43" s="83" t="str">
        <f>IF(E43="","—",IF(E43&lt;=0,"🟢 No Gap",IF(E43&lt;=1,"🟡 Developing",IF(E43&lt;=2,"🟠 Needs Focus","🔴 Critical"))))</f>
        <v>🟢 No Gap</v>
      </c>
      <c r="G43" s="127" t="str">
        <f>IF(F43="🟢 No Gap","No Action",IF(F43="🟡 Developing","Targeted Plan",IF(F43="🟠 Needs Focus","Structured Plan","Urgent Intervention")))</f>
        <v>No Action</v>
      </c>
    </row>
  </sheetData>
  <mergeCells count="6">
    <mergeCell ref="A38:J38"/>
    <mergeCell ref="A1:M1"/>
    <mergeCell ref="A2:M2"/>
    <mergeCell ref="A4:M4"/>
    <mergeCell ref="A20:J20"/>
    <mergeCell ref="A28:J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Instructions</vt:lpstr>
      <vt:lpstr>👤 Employee Assessment</vt:lpstr>
      <vt:lpstr>📊 PM Family Summary</vt:lpstr>
      <vt:lpstr>📈 Dashboard</vt:lpstr>
      <vt:lpstr>📑 PM Job Family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Mehmood Ul Hassan</cp:lastModifiedBy>
  <cp:revision>7</cp:revision>
  <dcterms:created xsi:type="dcterms:W3CDTF">2026-04-14T12:52:13Z</dcterms:created>
  <dcterms:modified xsi:type="dcterms:W3CDTF">2026-05-12T06:01:52Z</dcterms:modified>
  <dc:language>en-US</dc:language>
</cp:coreProperties>
</file>