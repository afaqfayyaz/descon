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ssan.mehmood\Desktop\BOD\PM Job Family\"/>
    </mc:Choice>
  </mc:AlternateContent>
  <xr:revisionPtr revIDLastSave="0" documentId="13_ncr:1_{66CC1428-4676-4D86-BE28-D71EF63D3935}" xr6:coauthVersionLast="47" xr6:coauthVersionMax="47" xr10:uidLastSave="{00000000-0000-0000-0000-000000000000}"/>
  <bookViews>
    <workbookView xWindow="-110" yWindow="-110" windowWidth="19420" windowHeight="11500" tabRatio="500" firstSheet="1" activeTab="2" xr2:uid="{00000000-000D-0000-FFFF-FFFF00000000}"/>
  </bookViews>
  <sheets>
    <sheet name="📋 Instructions" sheetId="1" r:id="rId1"/>
    <sheet name="📝 Questionnaire" sheetId="2" r:id="rId2"/>
    <sheet name="📊 Results &amp; Competency Map"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65" i="3" l="1"/>
  <c r="F65" i="3"/>
  <c r="E65" i="3"/>
  <c r="H65" i="3" s="1"/>
  <c r="I65" i="3" s="1"/>
  <c r="G64" i="3"/>
  <c r="F64" i="3"/>
  <c r="E64" i="3"/>
  <c r="H64" i="3" s="1"/>
  <c r="I64" i="3" s="1"/>
  <c r="G63" i="3"/>
  <c r="F63" i="3"/>
  <c r="E63" i="3"/>
  <c r="H63" i="3" s="1"/>
  <c r="I63" i="3" s="1"/>
  <c r="G62" i="3"/>
  <c r="F62" i="3"/>
  <c r="E62" i="3"/>
  <c r="H62" i="3" s="1"/>
  <c r="I62" i="3" s="1"/>
  <c r="G61" i="3"/>
  <c r="F61" i="3"/>
  <c r="E61" i="3"/>
  <c r="H61" i="3" s="1"/>
  <c r="I61" i="3" s="1"/>
  <c r="G60" i="3"/>
  <c r="F60" i="3"/>
  <c r="E60" i="3"/>
  <c r="H60" i="3" s="1"/>
  <c r="G57" i="3"/>
  <c r="F57" i="3"/>
  <c r="E57" i="3"/>
  <c r="H57" i="3" s="1"/>
  <c r="I57" i="3" s="1"/>
  <c r="G56" i="3"/>
  <c r="F56" i="3"/>
  <c r="E56" i="3"/>
  <c r="H56" i="3" s="1"/>
  <c r="I56" i="3" s="1"/>
  <c r="G55" i="3"/>
  <c r="F55" i="3"/>
  <c r="E55" i="3"/>
  <c r="H55" i="3" s="1"/>
  <c r="I55" i="3" s="1"/>
  <c r="G54" i="3"/>
  <c r="F54" i="3"/>
  <c r="E54" i="3"/>
  <c r="H54" i="3" s="1"/>
  <c r="I54" i="3" s="1"/>
  <c r="G53" i="3"/>
  <c r="F53" i="3"/>
  <c r="E53" i="3"/>
  <c r="H53" i="3" s="1"/>
  <c r="I53" i="3" s="1"/>
  <c r="G52" i="3"/>
  <c r="F52" i="3"/>
  <c r="E52" i="3"/>
  <c r="H52" i="3" s="1"/>
  <c r="G49" i="3"/>
  <c r="F49" i="3"/>
  <c r="H49" i="3" s="1"/>
  <c r="I49" i="3" s="1"/>
  <c r="E49" i="3"/>
  <c r="G48" i="3"/>
  <c r="F48" i="3"/>
  <c r="E48" i="3"/>
  <c r="H48" i="3" s="1"/>
  <c r="I48" i="3" s="1"/>
  <c r="G47" i="3"/>
  <c r="F47" i="3"/>
  <c r="E47" i="3"/>
  <c r="H47" i="3" s="1"/>
  <c r="I47" i="3" s="1"/>
  <c r="G46" i="3"/>
  <c r="H46" i="3" s="1"/>
  <c r="I46" i="3" s="1"/>
  <c r="F46" i="3"/>
  <c r="E46" i="3"/>
  <c r="G45" i="3"/>
  <c r="F45" i="3"/>
  <c r="E45" i="3"/>
  <c r="H45" i="3" s="1"/>
  <c r="I45" i="3" s="1"/>
  <c r="G44" i="3"/>
  <c r="F44" i="3"/>
  <c r="E44" i="3"/>
  <c r="H44" i="3" s="1"/>
  <c r="H41" i="3"/>
  <c r="I41" i="3" s="1"/>
  <c r="G41" i="3"/>
  <c r="F41" i="3"/>
  <c r="E41" i="3"/>
  <c r="G40" i="3"/>
  <c r="F40" i="3"/>
  <c r="E40" i="3"/>
  <c r="H40" i="3" s="1"/>
  <c r="I40" i="3" s="1"/>
  <c r="G39" i="3"/>
  <c r="F39" i="3"/>
  <c r="E39" i="3"/>
  <c r="H39" i="3" s="1"/>
  <c r="I39" i="3" s="1"/>
  <c r="G38" i="3"/>
  <c r="F38" i="3"/>
  <c r="E38" i="3"/>
  <c r="H38" i="3" s="1"/>
  <c r="I38" i="3" s="1"/>
  <c r="G37" i="3"/>
  <c r="F37" i="3"/>
  <c r="E37" i="3"/>
  <c r="H37" i="3" s="1"/>
  <c r="I37" i="3" s="1"/>
  <c r="G36" i="3"/>
  <c r="F36" i="3"/>
  <c r="E36" i="3"/>
  <c r="H36" i="3" s="1"/>
  <c r="G33" i="3"/>
  <c r="F33" i="3"/>
  <c r="E33" i="3"/>
  <c r="H33" i="3" s="1"/>
  <c r="I33" i="3" s="1"/>
  <c r="G32" i="3"/>
  <c r="F32" i="3"/>
  <c r="E32" i="3"/>
  <c r="H32" i="3" s="1"/>
  <c r="I32" i="3" s="1"/>
  <c r="G31" i="3"/>
  <c r="F31" i="3"/>
  <c r="H31" i="3" s="1"/>
  <c r="I31" i="3" s="1"/>
  <c r="E31" i="3"/>
  <c r="G30" i="3"/>
  <c r="F30" i="3"/>
  <c r="E30" i="3"/>
  <c r="H30" i="3" s="1"/>
  <c r="I30" i="3" s="1"/>
  <c r="G29" i="3"/>
  <c r="F29" i="3"/>
  <c r="E29" i="3"/>
  <c r="H29" i="3" s="1"/>
  <c r="G26" i="3"/>
  <c r="H26" i="3" s="1"/>
  <c r="I26" i="3" s="1"/>
  <c r="F26" i="3"/>
  <c r="E26" i="3"/>
  <c r="G25" i="3"/>
  <c r="F25" i="3"/>
  <c r="E25" i="3"/>
  <c r="H25" i="3" s="1"/>
  <c r="I25" i="3" s="1"/>
  <c r="G24" i="3"/>
  <c r="F24" i="3"/>
  <c r="E24" i="3"/>
  <c r="H24" i="3" s="1"/>
  <c r="I24" i="3" s="1"/>
  <c r="H23" i="3"/>
  <c r="I23" i="3" s="1"/>
  <c r="G23" i="3"/>
  <c r="F23" i="3"/>
  <c r="E23" i="3"/>
  <c r="G22" i="3"/>
  <c r="F22" i="3"/>
  <c r="E22" i="3"/>
  <c r="H22" i="3" s="1"/>
  <c r="G19" i="3"/>
  <c r="F19" i="3"/>
  <c r="E19" i="3"/>
  <c r="H19" i="3" s="1"/>
  <c r="I19" i="3" s="1"/>
  <c r="G18" i="3"/>
  <c r="F18" i="3"/>
  <c r="E18" i="3"/>
  <c r="H18" i="3" s="1"/>
  <c r="I18" i="3" s="1"/>
  <c r="G17" i="3"/>
  <c r="F17" i="3"/>
  <c r="E17" i="3"/>
  <c r="H17" i="3" s="1"/>
  <c r="I17" i="3" s="1"/>
  <c r="G16" i="3"/>
  <c r="F16" i="3"/>
  <c r="E16" i="3"/>
  <c r="H16" i="3" s="1"/>
  <c r="I16" i="3" s="1"/>
  <c r="G15" i="3"/>
  <c r="F15" i="3"/>
  <c r="E15" i="3"/>
  <c r="H15" i="3" s="1"/>
  <c r="I15" i="3" s="1"/>
  <c r="G14" i="3"/>
  <c r="F14" i="3"/>
  <c r="E14" i="3"/>
  <c r="H14" i="3" s="1"/>
  <c r="G11" i="3"/>
  <c r="F11" i="3"/>
  <c r="E11" i="3"/>
  <c r="G10" i="3"/>
  <c r="F10" i="3"/>
  <c r="E10" i="3"/>
  <c r="G9" i="3"/>
  <c r="F9" i="3"/>
  <c r="E9" i="3"/>
  <c r="G8" i="3"/>
  <c r="F8" i="3"/>
  <c r="E8" i="3"/>
  <c r="G7" i="3"/>
  <c r="F7" i="3"/>
  <c r="E7" i="3"/>
  <c r="H11" i="3" l="1"/>
  <c r="I11" i="3" s="1"/>
  <c r="H10" i="3"/>
  <c r="I10" i="3" s="1"/>
  <c r="H9" i="3"/>
  <c r="I9" i="3" s="1"/>
  <c r="H8" i="3"/>
  <c r="I8" i="3" s="1"/>
  <c r="H7" i="3"/>
  <c r="I7" i="3" s="1"/>
  <c r="I44" i="3"/>
  <c r="E74" i="3"/>
  <c r="E70" i="3"/>
  <c r="I14" i="3"/>
  <c r="E75" i="3"/>
  <c r="I52" i="3"/>
  <c r="E72" i="3"/>
  <c r="I29" i="3"/>
  <c r="E76" i="3"/>
  <c r="I60" i="3"/>
  <c r="E71" i="3"/>
  <c r="I22" i="3"/>
  <c r="I36" i="3"/>
  <c r="E73" i="3"/>
  <c r="E69" i="3" l="1"/>
  <c r="E77" i="3" s="1"/>
  <c r="F77" i="3" s="1"/>
  <c r="G72" i="3"/>
  <c r="F72" i="3"/>
  <c r="G71" i="3"/>
  <c r="F71" i="3"/>
  <c r="G76" i="3"/>
  <c r="F76" i="3"/>
  <c r="G75" i="3"/>
  <c r="F75" i="3"/>
  <c r="G70" i="3"/>
  <c r="F70" i="3"/>
  <c r="G73" i="3"/>
  <c r="F73" i="3"/>
  <c r="G74" i="3"/>
  <c r="F74" i="3"/>
  <c r="F69" i="3" l="1"/>
  <c r="G69" i="3"/>
</calcChain>
</file>

<file path=xl/sharedStrings.xml><?xml version="1.0" encoding="utf-8"?>
<sst xmlns="http://schemas.openxmlformats.org/spreadsheetml/2006/main" count="1715" uniqueCount="983">
  <si>
    <t>PM COMPETENCY QUESTIONNAIRE ASSESSMENT TOOL</t>
  </si>
  <si>
    <t>📌  HOW THIS TOOL WORKS</t>
  </si>
  <si>
    <t>This questionnaire assesses competency through real-world scenarios — NOT by asking you to rate yourself.</t>
  </si>
  <si>
    <t>You will read 135 situational questions across 8 competency areas. Each question presents a workplace scenario</t>
  </si>
  <si>
    <t>and 4 possible responses (A, B, C, D). Select the option that BEST describes what you would actually do.</t>
  </si>
  <si>
    <t>✅  IMPORTANT RULES FOR EMPLOYEES</t>
  </si>
  <si>
    <t xml:space="preserve">  •  Answer based on what you ACTUALLY do — not what you think the 'correct' answer is.</t>
  </si>
  <si>
    <t xml:space="preserve">  •  There are no trick questions. Your honest responses give the most useful picture.</t>
  </si>
  <si>
    <t xml:space="preserve">  •  Each response option reflects a different level of capability — you will not see scores.</t>
  </si>
  <si>
    <t xml:space="preserve">  •  The questionnaire takes approximately 30–45 minutes to complete.</t>
  </si>
  <si>
    <t xml:space="preserve">  •  Once submitted, scores are calculated automatically in the 'Results' sheet.</t>
  </si>
  <si>
    <t>📊  QUESTIONNAIRE STRUCTURE</t>
  </si>
  <si>
    <t xml:space="preserve">  8 Competency Areas    →    45 Sub-Competencies    →    135 Scenario Questions (3 per sub-competency)</t>
  </si>
  <si>
    <t xml:space="preserve">  Competency Areas Covered:</t>
  </si>
  <si>
    <t xml:space="preserve">  1. Root Cause Analysis &amp; Risk Assessment</t>
  </si>
  <si>
    <t xml:space="preserve">  2. Stakeholder &amp; Contract Management</t>
  </si>
  <si>
    <t xml:space="preserve">  3. Project Planning &amp; Execution</t>
  </si>
  <si>
    <t xml:space="preserve">  4. Proposal Development &amp; Internal Coordination</t>
  </si>
  <si>
    <t xml:space="preserve">  5. Resource Management &amp; Budget Control</t>
  </si>
  <si>
    <t xml:space="preserve">  6. Digital PM &amp; Technology Innovation</t>
  </si>
  <si>
    <t xml:space="preserve">  7. Operations &amp; Sustainability Management</t>
  </si>
  <si>
    <t xml:space="preserve">  8. Professional Certifications</t>
  </si>
  <si>
    <t>🎯  HOW SCORES ARE CALCULATED (HR Reference)</t>
  </si>
  <si>
    <t xml:space="preserve">  Each response option maps to a competency level (1–4):</t>
  </si>
  <si>
    <t xml:space="preserve">  Option A = Level 1 (Amateur)       Option B = Level 2 (Collaborator)</t>
  </si>
  <si>
    <t xml:space="preserve">  Option C = Level 3 (Enabler)       Option D = Level 4 (Driving Force)</t>
  </si>
  <si>
    <t xml:space="preserve">  • Sub-Competency Score  = Average of 3 question scores for that sub-competency</t>
  </si>
  <si>
    <t xml:space="preserve">  • Competency Area Score = Average of all sub-competency scores in that area</t>
  </si>
  <si>
    <t xml:space="preserve">  • Results are populated automatically in the '📊 Results &amp; Competency Map' sheet</t>
  </si>
  <si>
    <t xml:space="preserve">  • Compare with Required Levels in the PM Competency Assessment Tool to identify gaps</t>
  </si>
  <si>
    <t>⚠️  NOTE:  Employees should complete the '📝 Questionnaire' sheet only. The '📊 Results' sheet is</t>
  </si>
  <si>
    <t xml:space="preserve">           for HR/Line Manager use after the questionnaire is submitted.</t>
  </si>
  <si>
    <t>PROJECT MANAGEMENT COMPETENCY QUESTIONNAIRE</t>
  </si>
  <si>
    <t>Select the option (A / B / C / D) that BEST describes your typical approach. Answer honestly — there are no right or wrong answers.</t>
  </si>
  <si>
    <t>Employee Name:</t>
  </si>
  <si>
    <t>Assessment Date:</t>
  </si>
  <si>
    <t xml:space="preserve">  1.   ROOT CAUSE ANALYSIS &amp; RISK ASSESSMENT</t>
  </si>
  <si>
    <t>Q1</t>
  </si>
  <si>
    <t>A major project deliverable is consistently late. What is your first step?</t>
  </si>
  <si>
    <t>YOUR ANSWER ↓</t>
  </si>
  <si>
    <t>A</t>
  </si>
  <si>
    <t>A) Ask the team to work overtime to recover the delay</t>
  </si>
  <si>
    <t>B</t>
  </si>
  <si>
    <t>B) Log the delay in the risk register and notify the sponsor</t>
  </si>
  <si>
    <t>C</t>
  </si>
  <si>
    <t>C) Conduct a structured root cause analysis (5-Whys or fishbone) to identify the real driver</t>
  </si>
  <si>
    <t>D</t>
  </si>
  <si>
    <t>D) Redesign the project schedule and present a systemic fix with predictive indicators to prevent recurrence</t>
  </si>
  <si>
    <t>Q2</t>
  </si>
  <si>
    <t>During project execution a vendor fails to deliver. How do you respond?</t>
  </si>
  <si>
    <t>A) Escalate immediately to senior management</t>
  </si>
  <si>
    <t>B) Document the issue and investigate the vendor's reason</t>
  </si>
  <si>
    <t>C) Conduct a root cause review, trigger the contingency plan, and adjust the risk register</t>
  </si>
  <si>
    <t>D) Lead a cross-functional risk response, implement lessons-learned and update organisational risk frameworks</t>
  </si>
  <si>
    <t>Q3</t>
  </si>
  <si>
    <t>A risk you identified 3 months ago has now materialised. What does this indicate about your risk approach?</t>
  </si>
  <si>
    <t>A) Risks are unpredictable; there is nothing more you could have done</t>
  </si>
  <si>
    <t>B) The risk register should be updated more frequently</t>
  </si>
  <si>
    <t>C) Proactive monitoring and early-warning indicators were in place but response time needs improvement</t>
  </si>
  <si>
    <t>D) The risk management strategy requires a full review; you implement a real-time risk intelligence system</t>
  </si>
  <si>
    <t>Q4</t>
  </si>
  <si>
    <t>Before a project kicks off, how do you approach risk identification?</t>
  </si>
  <si>
    <t>A) Wait until risks appear during execution</t>
  </si>
  <si>
    <t>B) Use a basic checklist from previous projects</t>
  </si>
  <si>
    <t>C) Facilitate a structured risk workshop using SWOT and probability/impact matrices</t>
  </si>
  <si>
    <t>D) Develop a comprehensive risk taxonomy aligned to organisational strategy with Monte Carlo simulations</t>
  </si>
  <si>
    <t>Q5</t>
  </si>
  <si>
    <t>A key technical assumption in your project is challenged by a stakeholder late in planning. What do you do?</t>
  </si>
  <si>
    <t>A) Dismiss it since planning is already done</t>
  </si>
  <si>
    <t>B) Log it as an issue and note it for later review</t>
  </si>
  <si>
    <t>C) Re-evaluate the assumption formally, update the risk register, and communicate impact to the team</t>
  </si>
  <si>
    <t>D) Integrate assumption management into project governance and present scenario analysis to leadership</t>
  </si>
  <si>
    <t>Q6</t>
  </si>
  <si>
    <t>What best describes how you prevent project failure proactively?</t>
  </si>
  <si>
    <t>A) React to problems as they arise</t>
  </si>
  <si>
    <t>B) Review lessons learned from past projects before starting a new one</t>
  </si>
  <si>
    <t>C) Build pre-mortems, stress tests, and early warning dashboards into every project plan</t>
  </si>
  <si>
    <t>D) Lead organisational failure prevention programmes and embed risk intelligence in project culture</t>
  </si>
  <si>
    <t>Q7</t>
  </si>
  <si>
    <t>A scope change request arrives mid-project. How do you assess its impact?</t>
  </si>
  <si>
    <t>A) Accept the change if the client requests it</t>
  </si>
  <si>
    <t>B) Informally discuss impact with the project team</t>
  </si>
  <si>
    <t>C) Conduct an integrated impact analysis covering cost, time, quality, and risks; update all affected plans</t>
  </si>
  <si>
    <t>D) Develop a strategic impact model linking scope changes to portfolio-level risks and executive decision frameworks</t>
  </si>
  <si>
    <t>Q8</t>
  </si>
  <si>
    <t>Two project risks appear to be interdependent. What do you do?</t>
  </si>
  <si>
    <t>A) Treat them as separate items in the risk register</t>
  </si>
  <si>
    <t>B) Flag the link in a comment and monitor both</t>
  </si>
  <si>
    <t>C) Conduct an integrated risk analysis to assess compounding effects and update mitigation strategies</t>
  </si>
  <si>
    <t>D) Build a risk dependency map for the full project and present it as part of the portfolio risk review</t>
  </si>
  <si>
    <t>Q9</t>
  </si>
  <si>
    <t>When presenting a project risk report to leadership, what does your report typically include?</t>
  </si>
  <si>
    <t>A) A simple list of current risks</t>
  </si>
  <si>
    <t>B) Risk descriptions with probability and impact ratings</t>
  </si>
  <si>
    <t>C) Risk heat maps, trend analysis, and integrated cost-schedule risk impact summaries</t>
  </si>
  <si>
    <t>D) Predictive analytics, scenario planning, and strategic risk response recommendations aligned to business objectives</t>
  </si>
  <si>
    <t>Q10</t>
  </si>
  <si>
    <t>How do you ensure your project can withstand unexpected disruptions?</t>
  </si>
  <si>
    <t>A) Hope that disruptions do not occur</t>
  </si>
  <si>
    <t>B) Keep a list of backup resources</t>
  </si>
  <si>
    <t>C) Develop a resilience plan with contingency budgets, alternative suppliers, and tested recovery procedures</t>
  </si>
  <si>
    <t>D) Lead enterprise resilience planning, embedding operational continuity into project and organisational governance</t>
  </si>
  <si>
    <t>Q11</t>
  </si>
  <si>
    <t>A critical team member suddenly leaves mid-project. What action shows the best resilience approach?</t>
  </si>
  <si>
    <t>A) Pause the project until a replacement is found</t>
  </si>
  <si>
    <t>B) Redistribute tasks among remaining team members</t>
  </si>
  <si>
    <t>C) Activate a pre-planned succession/knowledge transfer plan and re-baseline the schedule</t>
  </si>
  <si>
    <t>D) The departure is managed seamlessly because cross-training and succession plans were built in from day one</t>
  </si>
  <si>
    <t>Q12</t>
  </si>
  <si>
    <t>How frequently do you review operational risks during a project?</t>
  </si>
  <si>
    <t>A) Only when a problem occurs</t>
  </si>
  <si>
    <t>B) At monthly project status meetings</t>
  </si>
  <si>
    <t>C) Weekly, using leading indicators and a dynamic risk register updated by the whole team</t>
  </si>
  <si>
    <t>D) Continuously through an automated risk monitoring system that triggers alerts and board-level dashboards</t>
  </si>
  <si>
    <t>Q13</t>
  </si>
  <si>
    <t>How do you align project risk strategy with organisational strategy?</t>
  </si>
  <si>
    <t>A) I focus on project risks only; strategy is leadership's responsibility</t>
  </si>
  <si>
    <t>B) I share risk reports with leadership when asked</t>
  </si>
  <si>
    <t>C) I ensure project risk appetite is defined in line with organisational strategy and communicated to the team</t>
  </si>
  <si>
    <t>D) I shape enterprise risk strategy, influencing how the organisation approaches risk at portfolio and board level</t>
  </si>
  <si>
    <t>Q14</t>
  </si>
  <si>
    <t>A new emerging technology could either significantly benefit or threaten your project. What do you do?</t>
  </si>
  <si>
    <t>A) Avoid it until it is more established</t>
  </si>
  <si>
    <t>B) Research it and note it as a potential risk</t>
  </si>
  <si>
    <t>C) Conduct a structured innovation risk assessment and present a balanced recommendation to stakeholders</t>
  </si>
  <si>
    <t>D) Lead the evaluation, build a business case, and drive the adoption or mitigation decision at executive level</t>
  </si>
  <si>
    <t>Q15</t>
  </si>
  <si>
    <t>What best describes your approach to risk innovation within your team?</t>
  </si>
  <si>
    <t>A) Risk management is a compliance requirement; I complete the forms</t>
  </si>
  <si>
    <t>B) I encourage team members to raise risks</t>
  </si>
  <si>
    <t>C) I foster a risk-aware culture with regular workshops and reward proactive risk identification</t>
  </si>
  <si>
    <t>D) I mentor the organisation in risk innovation, developing new methodologies and publishing internal best practices</t>
  </si>
  <si>
    <t xml:space="preserve">  2.   STAKEHOLDER &amp; CONTRACT MANAGEMENT</t>
  </si>
  <si>
    <t>Q16</t>
  </si>
  <si>
    <t>A senior stakeholder changes their position on a key project requirement. What do you do?</t>
  </si>
  <si>
    <t>A) Accept the change and inform the team</t>
  </si>
  <si>
    <t>B) Document the change and seek approval from the sponsor</t>
  </si>
  <si>
    <t>C) Conduct a stakeholder impact analysis, update the engagement plan, and negotiate a formal change order</t>
  </si>
  <si>
    <t>D) Use the change to re-align project governance frameworks and update the contract management strategy</t>
  </si>
  <si>
    <t>Q17</t>
  </si>
  <si>
    <t>How do you ensure contracts remain aligned with project objectives throughout delivery?</t>
  </si>
  <si>
    <t>A) Review the contract only if a dispute arises</t>
  </si>
  <si>
    <t>B) Check key contract milestones at project meetings</t>
  </si>
  <si>
    <t>C) Maintain a contract compliance tracker and conduct regular governance reviews with the legal team</t>
  </si>
  <si>
    <t>D) Design and lead contract governance processes that embed compliance into all project decisions and vendor relationships</t>
  </si>
  <si>
    <t>Q18</t>
  </si>
  <si>
    <t>A contractor is underperforming against contract KPIs. What is your first course of action?</t>
  </si>
  <si>
    <t>A) Give the contractor more time to improve</t>
  </si>
  <si>
    <t>B) Issue a written warning and document the non-compliance</t>
  </si>
  <si>
    <t>C) Initiate a formal performance review, invoke contractual remedies, and escalate through governance channels</t>
  </si>
  <si>
    <t>D) Lead a strategic vendor partnership review and present findings to the executive committee</t>
  </si>
  <si>
    <t>Q19</t>
  </si>
  <si>
    <t>Two key stakeholders have opposing views on project priorities. How do you handle this?</t>
  </si>
  <si>
    <t>A) Let the project sponsor decide</t>
  </si>
  <si>
    <t>B) Hold separate meetings with each to understand their positions</t>
  </si>
  <si>
    <t>C) Facilitate a structured negotiation session, identify shared interests, and agree a priority framework</t>
  </si>
  <si>
    <t>D) Design a stakeholder alignment process that systematically resolves conflicts and prevents escalation across the programme</t>
  </si>
  <si>
    <t>Q20</t>
  </si>
  <si>
    <t>A vendor is requesting a contract amendment that would benefit them but risk your project timeline. How do you negotiate?</t>
  </si>
  <si>
    <t>A) Reject the amendment outright</t>
  </si>
  <si>
    <t>B) Agree to part of the amendment to maintain the relationship</t>
  </si>
  <si>
    <t>C) Analyse the full impact, prepare a counter-proposal with trade-offs, and negotiate from a data-driven position</t>
  </si>
  <si>
    <t>D) Lead a strategic negotiation that achieves a win-win outcome while protecting the organisation's long-term interests</t>
  </si>
  <si>
    <t>Q21</t>
  </si>
  <si>
    <t>How do you prepare for a high-stakes negotiation with a client over project delays?</t>
  </si>
  <si>
    <t>A) Go in with a flexible mindset and see how it plays out</t>
  </si>
  <si>
    <t>B) Prepare a list of reasons for the delay and expected recovery actions</t>
  </si>
  <si>
    <t>C) Develop a structured negotiation brief with scenario analysis, concession strategy, and BATNA</t>
  </si>
  <si>
    <t>D) Coach the team in advanced negotiation strategy and personally lead the session using evidence-based techniques</t>
  </si>
  <si>
    <t>Q22</t>
  </si>
  <si>
    <t>A client reports dissatisfaction with a deliverable that technically meets contract specifications. What do you do?</t>
  </si>
  <si>
    <t>A) Point out the deliverable meets the contract and close the issue</t>
  </si>
  <si>
    <t>B) Apologise and offer to review the specification</t>
  </si>
  <si>
    <t>C) Conduct a stakeholder satisfaction review and develop a remediation plan</t>
  </si>
  <si>
    <t>D) Use the situation to redesign contract quality frameworks to better capture stakeholder value expectations</t>
  </si>
  <si>
    <t>Q23</t>
  </si>
  <si>
    <t>How do you ensure stakeholder expectations are embedded in contract terms?</t>
  </si>
  <si>
    <t>A) Contracts are handled by the legal team; my role is delivery</t>
  </si>
  <si>
    <t>B) Review final contracts before signing to check key deliverables are included</t>
  </si>
  <si>
    <t>C) Actively contribute to contract drafting, ensuring stakeholder requirements are translated into measurable contract terms</t>
  </si>
  <si>
    <t>D) Design governance frameworks that systematically translate stakeholder strategy into binding contractual obligations</t>
  </si>
  <si>
    <t>Q24</t>
  </si>
  <si>
    <t>A dispute arises over contract interpretation between your team and a vendor. What is your approach?</t>
  </si>
  <si>
    <t>A) Escalate immediately to legal counsel</t>
  </si>
  <si>
    <t>B) Review the contract and share your interpretation in writing</t>
  </si>
  <si>
    <t>C) Facilitate a joint contract review, seek expert opinion, and propose a mutually agreed resolution</t>
  </si>
  <si>
    <t>D) Lead a structured dispute resolution process and use the experience to improve contract clarity standards organisation-wide</t>
  </si>
  <si>
    <t>Q25</t>
  </si>
  <si>
    <t>A project team member unknowingly violates a contract obligation. What do you do?</t>
  </si>
  <si>
    <t>A) Address it quietly internally and hope the client does not notice</t>
  </si>
  <si>
    <t>B) Inform the team member and document the breach</t>
  </si>
  <si>
    <t>C) Conduct a contract compliance audit, notify the client proactively, and put corrective measures in place</t>
  </si>
  <si>
    <t>D) Lead a compliance programme review, implement training, and redesign contract awareness processes across the project</t>
  </si>
  <si>
    <t>Q26</t>
  </si>
  <si>
    <t>How do you ensure your project team understands key contract obligations?</t>
  </si>
  <si>
    <t>A) Share the contract with the team lead only</t>
  </si>
  <si>
    <t>B) Summarise key points in the project kickoff meeting</t>
  </si>
  <si>
    <t>C) Develop contract obligation registers, conduct onboarding sessions, and track compliance throughout delivery</t>
  </si>
  <si>
    <t>D) Create organisational contract literacy programmes and embed compliance accountability into governance structures</t>
  </si>
  <si>
    <t>Q27</t>
  </si>
  <si>
    <t>At project close, a contract deliverable was not fully met. How do you handle it?</t>
  </si>
  <si>
    <t>A) Close the project and deal with it if the client raises it</t>
  </si>
  <si>
    <t>B) Document the gap and include it in the lessons-learned report</t>
  </si>
  <si>
    <t>C) Conduct a formal contract close-out review and negotiate an agreed resolution with the client</t>
  </si>
  <si>
    <t>D) Lead a post-contract review, identify systemic compliance gaps, and drive improvements in contract management practice</t>
  </si>
  <si>
    <t>Q28</t>
  </si>
  <si>
    <t>A powerful stakeholder pressures you to fast-track a deliverable in a way that cuts corners on quality. What do you do?</t>
  </si>
  <si>
    <t>A) Comply to maintain the relationship</t>
  </si>
  <si>
    <t>B) Express concern but proceed if the stakeholder insists</t>
  </si>
  <si>
    <t>C) Clearly communicate the quality and risk implications and propose a compliant alternative</t>
  </si>
  <si>
    <t>D) Uphold ethical standards, escalate if necessary, and use the situation to strengthen project governance frameworks</t>
  </si>
  <si>
    <t>Q29</t>
  </si>
  <si>
    <t>You discover a vendor has offered a team member an inappropriate gift. What do you do?</t>
  </si>
  <si>
    <t>A) Ignore it as a minor matter</t>
  </si>
  <si>
    <t>B) Speak to the team member informally</t>
  </si>
  <si>
    <t>C) Follow the ethics and conflict-of-interest policy, formally report and document the incident</t>
  </si>
  <si>
    <t>D) Lead an ethics review, strengthen vendor conduct clauses in contracts, and run an anti-corruption awareness programme</t>
  </si>
  <si>
    <t>Q30</t>
  </si>
  <si>
    <t>A stakeholder requests project data that you are not authorised to share. How do you respond?</t>
  </si>
  <si>
    <t>A) Share it to maintain the relationship</t>
  </si>
  <si>
    <t>B) Politely decline without explanation</t>
  </si>
  <si>
    <t>C) Explain the data governance policy and offer an alternative compliant form of the data</t>
  </si>
  <si>
    <t>D) Use the situation to lead a data governance and stakeholder access policy review across the programme</t>
  </si>
  <si>
    <t>Q31</t>
  </si>
  <si>
    <t>A vendor consistently delivers on time but quality is below expectations. How do you manage this?</t>
  </si>
  <si>
    <t>A) Continue as is to avoid disrupting the timeline</t>
  </si>
  <si>
    <t>B) Raise the quality concern informally with the vendor</t>
  </si>
  <si>
    <t>C) Invoke contractual quality clauses and implement a structured improvement plan with measurable milestones</t>
  </si>
  <si>
    <t>D) Lead a strategic vendor performance transformation, redesigning KPIs and SLA frameworks for long-term improvement</t>
  </si>
  <si>
    <t>Q32</t>
  </si>
  <si>
    <t>How do you measure stakeholder satisfaction during project delivery?</t>
  </si>
  <si>
    <t>A) Rely on informal feedback and gut feeling</t>
  </si>
  <si>
    <t>B) Send a satisfaction survey at project closure</t>
  </si>
  <si>
    <t>C) Use regular structured check-ins, satisfaction surveys at key milestones, and a stakeholder engagement index</t>
  </si>
  <si>
    <t>D) Design and implement a continuous stakeholder intelligence system that feeds into project governance and strategy</t>
  </si>
  <si>
    <t>Q33</t>
  </si>
  <si>
    <t>At project end, a contract is 95% complete but final payment is disputed. What do you do?</t>
  </si>
  <si>
    <t>A) Accept the dispute and absorb the cost</t>
  </si>
  <si>
    <t>B) Negotiate informally with the client</t>
  </si>
  <si>
    <t>C) Initiate a formal contract close-out procedure with documented evidence and escalate through governance</t>
  </si>
  <si>
    <t>D) Lead a strategic contract dispute resolution process and use the case to strengthen contractual close-out standards</t>
  </si>
  <si>
    <t xml:space="preserve">  3.   PROJECT PLANNING &amp; EXECUTION</t>
  </si>
  <si>
    <t>Q34</t>
  </si>
  <si>
    <t>You are asked to lead a large, complex project with multiple interdependencies. How do you start?</t>
  </si>
  <si>
    <t>A) Assign tasks and start executing</t>
  </si>
  <si>
    <t>B) Create a basic project plan with key milestones</t>
  </si>
  <si>
    <t>C) Develop a comprehensive project charter, WBS, and integrated master schedule with dependencies mapped</t>
  </si>
  <si>
    <t>D) Design an enterprise project execution framework aligned to organisational strategy with full portfolio integration</t>
  </si>
  <si>
    <t>Q35</t>
  </si>
  <si>
    <t>Your project is falling behind schedule. What is your approach to recovery?</t>
  </si>
  <si>
    <t>A) Inform the client and hope to recover naturally</t>
  </si>
  <si>
    <t>B) Work overtime with the team to catch up</t>
  </si>
  <si>
    <t>C) Conduct schedule analysis, implement fast-tracking or crashing, update the plan, and communicate formally</t>
  </si>
  <si>
    <t>D) Lead a full project recovery strategy including resource reallocation and executive re-baselining</t>
  </si>
  <si>
    <t>Q36</t>
  </si>
  <si>
    <t>How do you ensure project execution stays aligned with strategic objectives?</t>
  </si>
  <si>
    <t>A) Focus on delivery; strategy is the sponsor's job</t>
  </si>
  <si>
    <t>B) Review strategic objectives at project start</t>
  </si>
  <si>
    <t>C) Track strategic alignment through KPIs, conduct regular governance reviews, and adjust priorities when needed</t>
  </si>
  <si>
    <t>D) Embed strategic portfolio management practices ensuring every project decision is traceable to organisational objectives</t>
  </si>
  <si>
    <t>Q37</t>
  </si>
  <si>
    <t>How do you develop a project schedule for a 12-month infrastructure project?</t>
  </si>
  <si>
    <t>A) List tasks and estimate durations based on experience</t>
  </si>
  <si>
    <t>B) Create a Gantt chart with key deliverable milestones</t>
  </si>
  <si>
    <t>C) Develop a resource-loaded baseline schedule with critical path analysis, risks, and buffer allocation</t>
  </si>
  <si>
    <t>D) Use advanced scheduling techniques (CCPM, Monte Carlo simulation) and integrate into an enterprise portfolio system</t>
  </si>
  <si>
    <t>Q38</t>
  </si>
  <si>
    <t>A project scope is unclear at the start. How do you handle planning?</t>
  </si>
  <si>
    <t>A) Start work and refine as you go</t>
  </si>
  <si>
    <t>B) Request a scope document from the client before proceeding</t>
  </si>
  <si>
    <t>C) Facilitate scope definition workshops, develop a detailed WBS, and obtain formal sign-off before planning</t>
  </si>
  <si>
    <t>D) Use progressive elaboration techniques with rolling wave planning and strategic horizon management</t>
  </si>
  <si>
    <t>Q39</t>
  </si>
  <si>
    <t>How do you optimise a project plan with too many parallel workstreams causing resource overload?</t>
  </si>
  <si>
    <t>A) Add more resources</t>
  </si>
  <si>
    <t>B) Extend the timeline to reduce pressure</t>
  </si>
  <si>
    <t>C) Conduct resource levelling, re-sequence activities, and update the schedule with realistic allocations</t>
  </si>
  <si>
    <t>D) Redesign the project execution strategy with a phased delivery model and present optimised options to leadership</t>
  </si>
  <si>
    <t>Q40</t>
  </si>
  <si>
    <t>A project team member proposes bypassing a compliance step to save time. What do you do?</t>
  </si>
  <si>
    <t>A) Allow it if the team member is confident the risk is low</t>
  </si>
  <si>
    <t>B) Flag the risk but let the team decide</t>
  </si>
  <si>
    <t>C) Reject the bypass, document the decision, and ensure all compliance requirements are met</t>
  </si>
  <si>
    <t>D) Use the situation to strengthen project governance frameworks and deliver a compliance refresher across the team</t>
  </si>
  <si>
    <t>Q41</t>
  </si>
  <si>
    <t>How do you set up project governance for a large cross-functional initiative?</t>
  </si>
  <si>
    <t>A) Hold weekly meetings and use email for updates</t>
  </si>
  <si>
    <t>B) Set up a steering committee and produce monthly reports</t>
  </si>
  <si>
    <t>C) Design a formal governance framework with RACI, decision escalation paths, and assurance reviews</t>
  </si>
  <si>
    <t>D) Lead enterprise governance design integrating project governance into organisational policy and board reporting</t>
  </si>
  <si>
    <t>Q42</t>
  </si>
  <si>
    <t>A regulatory change mid-project affects your delivery approach. What do you do?</t>
  </si>
  <si>
    <t>A) Continue as planned and address compliance after delivery</t>
  </si>
  <si>
    <t>B) Notify stakeholders and pause affected workstreams</t>
  </si>
  <si>
    <t>C) Conduct an impact assessment, update the project plan and risk register, and communicate through governance channels</t>
  </si>
  <si>
    <t>D) Lead a rapid compliance response, re-scope the project, and present a strategic options paper to the executive committee</t>
  </si>
  <si>
    <t>Q43</t>
  </si>
  <si>
    <t>How do you monitor project health on an ongoing basis?</t>
  </si>
  <si>
    <t>A) Check in with the team informally each week</t>
  </si>
  <si>
    <t>B) Track budget and schedule at monthly meetings</t>
  </si>
  <si>
    <t>C) Use Earned Value Management, variance analysis, and a performance dashboard updated weekly</t>
  </si>
  <si>
    <t>D) Implement a real-time project intelligence system with predictive analytics and automated exception reporting</t>
  </si>
  <si>
    <t>Q44</t>
  </si>
  <si>
    <t>A project dashboard shows cost overrun at 15% while schedule is on track. What do you do?</t>
  </si>
  <si>
    <t>A) Continue monitoring; it may self-correct</t>
  </si>
  <si>
    <t>B) Alert the sponsor and wait for guidance</t>
  </si>
  <si>
    <t>C) Investigate root causes, quantify the forecast overrun, develop corrective options, and present to governance</t>
  </si>
  <si>
    <t>D) Lead a project financial recovery strategy, adjust the financial model, and implement new cost controls</t>
  </si>
  <si>
    <t>Q45</t>
  </si>
  <si>
    <t>A project deliverable has been completed but quality is borderline acceptable. What do you do?</t>
  </si>
  <si>
    <t>A) Accept it to avoid delay</t>
  </si>
  <si>
    <t>B) Request the team rework the specific area</t>
  </si>
  <si>
    <t>C) Conduct a formal quality review against acceptance criteria, document findings, and agree a structured rework plan</t>
  </si>
  <si>
    <t>D) Implement a quality assurance process refinement programme to prevent similar issues across all future deliverables</t>
  </si>
  <si>
    <t>Q46</t>
  </si>
  <si>
    <t>Two departments in your project have conflicting priorities. How do you resolve this?</t>
  </si>
  <si>
    <t>A) Escalate to the project sponsor</t>
  </si>
  <si>
    <t>B) Hold separate meetings with each department head</t>
  </si>
  <si>
    <t>C) Facilitate a cross-functional alignment workshop, define shared objectives, and document agreed priorities</t>
  </si>
  <si>
    <t>D) Design a cross-functional governance model that systematically resolves interdependencies and presents unified priorities to leadership</t>
  </si>
  <si>
    <t>Q47</t>
  </si>
  <si>
    <t>A team member from another department is not meeting their project commitments. How do you manage this?</t>
  </si>
  <si>
    <t>A) Accept it; they report to a different manager</t>
  </si>
  <si>
    <t>B) Raise the concern informally with their manager</t>
  </si>
  <si>
    <t>C) Have a structured performance conversation, document commitments, escalate through governance if unresolved</t>
  </si>
  <si>
    <t>D) Lead a cross-functional accountability framework review and align departmental KPIs to project delivery outcomes</t>
  </si>
  <si>
    <t>Q48</t>
  </si>
  <si>
    <t>How do you foster effective collaboration across teams with very different working styles?</t>
  </si>
  <si>
    <t>A) Let each team work in its own way</t>
  </si>
  <si>
    <t>B) Set shared goals and hold regular joint meetings</t>
  </si>
  <si>
    <t>C) Conduct a team collaboration assessment, design joint ways-of-working protocols, and facilitate team-building sessions</t>
  </si>
  <si>
    <t>D) Lead an organisation-wide collaboration capability development programme as part of the project methodology</t>
  </si>
  <si>
    <t xml:space="preserve">  4.   PROPOSAL DEVELOPMENT &amp; INTERNAL COORDINATION</t>
  </si>
  <si>
    <t>Q49</t>
  </si>
  <si>
    <t>You are preparing a proposal for a major client. What is your process?</t>
  </si>
  <si>
    <t>A) Compile previous proposals and adapt the content</t>
  </si>
  <si>
    <t>B) Follow the client's RFP template and fill in the required sections</t>
  </si>
  <si>
    <t>C) Develop a win strategy, conduct a structured bid review, and tailor the proposal to client-specific value drivers</t>
  </si>
  <si>
    <t>D) Lead the proposal as a strategic business opportunity, directing a multi-disciplinary bid team</t>
  </si>
  <si>
    <t>Q50</t>
  </si>
  <si>
    <t>A proposal is due in 5 days but key technical input is delayed. What do you do?</t>
  </si>
  <si>
    <t>A) Submit what you have and note the gaps</t>
  </si>
  <si>
    <t>B) Request an extension from the client</t>
  </si>
  <si>
    <t>C) Escalate internally, prioritise critical inputs, implement a rapid review cycle, and submit on time</t>
  </si>
  <si>
    <t>D) Lead a proposal resilience review and redesign the internal contribution process for all future bids</t>
  </si>
  <si>
    <t>Q51</t>
  </si>
  <si>
    <t>After submitting a proposal, your team receives feedback that it lacked strategic depth. How do you respond?</t>
  </si>
  <si>
    <t>A) Note the feedback for next time</t>
  </si>
  <si>
    <t>B) Apologise and offer to resubmit</t>
  </si>
  <si>
    <t>C) Conduct a proposal debrief, identify root causes, and implement a quality improvement plan</t>
  </si>
  <si>
    <t>D) Lead a proposal centre of excellence review and redefine the organisation's proposal quality standards</t>
  </si>
  <si>
    <t>Q52</t>
  </si>
  <si>
    <t>How do you ensure a proposal is aligned with internal capabilities before submission?</t>
  </si>
  <si>
    <t>A) Trust the team leads to flag if they cannot deliver</t>
  </si>
  <si>
    <t>B) Conduct a basic capacity check with department heads</t>
  </si>
  <si>
    <t>C) Develop a resource and capability matrix, validate against current workload, and get formal sign-off</t>
  </si>
  <si>
    <t>D) Lead an enterprise-wide bid governance process that aligns proposals to strategic capacity planning</t>
  </si>
  <si>
    <t>Q53</t>
  </si>
  <si>
    <t>Two proposals are competing for the same internal resources. How do you manage the conflict?</t>
  </si>
  <si>
    <t>A) First come, first served</t>
  </si>
  <si>
    <t>B) Escalate to the executive team</t>
  </si>
  <si>
    <t>C) Conduct a priority assessment based on strategic value, negotiate resource allocation, and document the decision</t>
  </si>
  <si>
    <t>D) Design a portfolio-level bid resource governance model that prioritises bids against strategic objectives</t>
  </si>
  <si>
    <t>Q54</t>
  </si>
  <si>
    <t>How do you continuously improve proposal win rates?</t>
  </si>
  <si>
    <t>A) Submit as many proposals as possible</t>
  </si>
  <si>
    <t>B) Review won/lost bids occasionally to identify patterns</t>
  </si>
  <si>
    <t>C) Maintain a bid intelligence database, conduct structured win/loss reviews, and apply findings to future proposals</t>
  </si>
  <si>
    <t>D) Lead a strategic proposal optimisation programme with data-driven win rate analytics and executive sponsorship</t>
  </si>
  <si>
    <t>Q55</t>
  </si>
  <si>
    <t>A client challenges the pricing in your proposal. How do you respond?</t>
  </si>
  <si>
    <t>A) Offer a discount to close the deal</t>
  </si>
  <si>
    <t>B) Explain the cost breakdown and defend the price</t>
  </si>
  <si>
    <t>C) Present a value-based justification, explore alternative pricing models, and negotiate terms that protect margins</t>
  </si>
  <si>
    <t>D) Lead a strategic pricing negotiation, repositioning the proposal around long-term value and strategic partnership</t>
  </si>
  <si>
    <t>Q56</t>
  </si>
  <si>
    <t>A key internal stakeholder is not supporting the proposal effort. How do you get buy-in?</t>
  </si>
  <si>
    <t>A) Proceed without their input</t>
  </si>
  <si>
    <t>B) Send an email explaining the importance of their contribution</t>
  </si>
  <si>
    <t>C) Hold a targeted stakeholder engagement session, address their concerns, and integrate their input into the proposal</t>
  </si>
  <si>
    <t>D) Lead a strategic stakeholder alignment process and develop a proposal sponsorship governance model</t>
  </si>
  <si>
    <t>Q57</t>
  </si>
  <si>
    <t>How do you communicate a complex technical proposal to a non-technical client?</t>
  </si>
  <si>
    <t>A) Share the technical document and offer to answer questions</t>
  </si>
  <si>
    <t>B) Summarise the key points in a covering letter</t>
  </si>
  <si>
    <t>C) Develop an executive summary with visual aids and translate technical content into business outcomes</t>
  </si>
  <si>
    <t>D) Design a multi-channel proposal communication strategy addressing all stakeholder personas</t>
  </si>
  <si>
    <t>Q58</t>
  </si>
  <si>
    <t>Your organisation has no standard proposal process. What do you do?</t>
  </si>
  <si>
    <t>A) Create a template for your own team</t>
  </si>
  <si>
    <t>B) Share best practices with colleagues informally</t>
  </si>
  <si>
    <t>C) Design and implement a proposal governance framework with stage gates, quality reviews, and role assignments</t>
  </si>
  <si>
    <t>D) Lead an enterprise proposal management transformation, defining standards, tools, and capability programmes</t>
  </si>
  <si>
    <t>Q59</t>
  </si>
  <si>
    <t>A proposal is submitted without a proper internal review. How do you prevent this happening again?</t>
  </si>
  <si>
    <t>A) Issue a reminder to the team</t>
  </si>
  <si>
    <t>B) Add a review step to the next proposal</t>
  </si>
  <si>
    <t>C) Implement a formal proposal review gate process with defined reviewers, checklists, and sign-off authority</t>
  </si>
  <si>
    <t>D) Redesign the full proposal governance policy and drive its adoption across the organisation</t>
  </si>
  <si>
    <t>Q60</t>
  </si>
  <si>
    <t>How do you ensure proposals reflect corporate values and brand standards?</t>
  </si>
  <si>
    <t>A) Leave it to the marketing team</t>
  </si>
  <si>
    <t>B) Add a standard company profile section to every proposal</t>
  </si>
  <si>
    <t>C) Develop a proposal style guide aligned to brand standards and conduct regular compliance reviews</t>
  </si>
  <si>
    <t>D) Lead the integration of corporate identity, ESG commitments, and strategic narrative into all proposals at organisational level</t>
  </si>
  <si>
    <t>Q61</t>
  </si>
  <si>
    <t>What makes a proposal stand out from competitors?</t>
  </si>
  <si>
    <t>A) A low price</t>
  </si>
  <si>
    <t>B) Meeting all RFP requirements</t>
  </si>
  <si>
    <t>C) Clearly articulating differentiated value, risk mitigation, and a compelling delivery methodology</t>
  </si>
  <si>
    <t>D) Positioning the proposal as a strategic partnership opportunity with a forward-looking innovation narrative</t>
  </si>
  <si>
    <t>Q62</t>
  </si>
  <si>
    <t>A major proposal was lost to a competitor. What do you do?</t>
  </si>
  <si>
    <t>A) Move on to the next opportunity</t>
  </si>
  <si>
    <t>B) Request debrief notes from the client</t>
  </si>
  <si>
    <t>C) Conduct a structured post-bid analysis and update the proposal library with improvement actions</t>
  </si>
  <si>
    <t>D) Lead a strategic bid intelligence review, benchmark against competitors, and redesign the proposal approach</t>
  </si>
  <si>
    <t>Q63</t>
  </si>
  <si>
    <t>How do you ensure a proposal delivers measurable business impact if won?</t>
  </si>
  <si>
    <t>A) Focus on winning; delivery concerns come later</t>
  </si>
  <si>
    <t>B) Include a delivery plan and key milestones</t>
  </si>
  <si>
    <t>C) Develop a benefits realisation plan within the proposal, linked to measurable KPIs and client success criteria</t>
  </si>
  <si>
    <t>D) Embed strategic impact frameworks demonstrating long-term ROI and organisational transformation potential</t>
  </si>
  <si>
    <t xml:space="preserve">  5.   RESOURCE MANAGEMENT &amp; BUDGET CONTROL</t>
  </si>
  <si>
    <t>Q64</t>
  </si>
  <si>
    <t>You are preparing the project budget for a complex initiative. What is your approach?</t>
  </si>
  <si>
    <t>A) Estimate costs based on previous projects</t>
  </si>
  <si>
    <t>B) Use a top-down estimate approved by the sponsor</t>
  </si>
  <si>
    <t>C) Develop a bottom-up cost estimate with contingency reserves and validate with subject matter experts</t>
  </si>
  <si>
    <t>D) Build a comprehensive resource-loaded financial model with risk-adjusted contingencies and portfolio funding alignment</t>
  </si>
  <si>
    <t>Q65</t>
  </si>
  <si>
    <t>Your project is at 60% complete but has consumed 80% of the budget. What do you do?</t>
  </si>
  <si>
    <t>A) Continue and hope the remaining work costs less</t>
  </si>
  <si>
    <t>B) Report the overrun and request more budget</t>
  </si>
  <si>
    <t>C) Conduct an Earned Value Analysis, forecast the final cost, identify variance causes, and present corrective options</t>
  </si>
  <si>
    <t>D) Lead a project financial recovery programme and present strategic options to the executive board</t>
  </si>
  <si>
    <t>Q66</t>
  </si>
  <si>
    <t>Resources are shared across multiple projects. How do you ensure your project gets what it needs?</t>
  </si>
  <si>
    <t>A) Request resources early and hope for the best</t>
  </si>
  <si>
    <t>B) Escalate resource conflicts to senior management</t>
  </si>
  <si>
    <t>C) Maintain a resource plan and negotiate allocations through formal portfolio resource management</t>
  </si>
  <si>
    <t>D) Lead enterprise resource optimisation, designing a portfolio capacity model that balances demand across all projects</t>
  </si>
  <si>
    <t>Q67</t>
  </si>
  <si>
    <t>You discover a team member has been charging time to the wrong project code. What do you do?</t>
  </si>
  <si>
    <t>A) Let it go if the amounts are small</t>
  </si>
  <si>
    <t>B) Correct the allocation quietly in the system</t>
  </si>
  <si>
    <t>C) Investigate the cause, correct allocations, document the incident, and implement a control to prevent recurrence</t>
  </si>
  <si>
    <t>D) Lead a financial governance audit across all projects and redesign time-charging controls and accountability processes</t>
  </si>
  <si>
    <t>Q68</t>
  </si>
  <si>
    <t>A budget holder approves an expenditure outside project scope. How do you handle it?</t>
  </si>
  <si>
    <t>A) Process it to avoid a conflict</t>
  </si>
  <si>
    <t>B) Flag it to the budget holder informally</t>
  </si>
  <si>
    <t>C) Reject it formally, document the decision, and escalate through the project's financial governance framework</t>
  </si>
  <si>
    <t>D) Lead a project financial controls review and strengthen scope-to-spend governance across the programme</t>
  </si>
  <si>
    <t>Q69</t>
  </si>
  <si>
    <t>How do you ensure project financial reports are accurate and meet compliance requirements?</t>
  </si>
  <si>
    <t>A) Rely on the finance team to validate</t>
  </si>
  <si>
    <t>B) Review reports before submission and correct obvious errors</t>
  </si>
  <si>
    <t>C) Implement a financial reporting checklist, validate against project actuals, and obtain sign-off from the finance controller</t>
  </si>
  <si>
    <t>D) Design and own a project financial compliance framework aligned to corporate audit requirements</t>
  </si>
  <si>
    <t>Q70</t>
  </si>
  <si>
    <t>Your project finance tracking is done manually via spreadsheets. What do you propose?</t>
  </si>
  <si>
    <t>A) Continue as is; it works well enough</t>
  </si>
  <si>
    <t>B) Suggest the team move to a shared spreadsheet</t>
  </si>
  <si>
    <t>C) Propose and implement a project management information system with automated financial tracking and reporting</t>
  </si>
  <si>
    <t>D) Lead a digital finance transformation integrating project cost management with ERP and real-time analytics</t>
  </si>
  <si>
    <t>Q71</t>
  </si>
  <si>
    <t>How do you use data analytics to improve budget management?</t>
  </si>
  <si>
    <t>A) I do not use analytics; I rely on experience</t>
  </si>
  <si>
    <t>B) Review monthly financial summaries</t>
  </si>
  <si>
    <t>C) Use trend analysis and EVM metrics to forecast project financial performance and identify optimisation opportunities</t>
  </si>
  <si>
    <t>D) Build predictive financial models and lead the organisation's adoption of AI-powered project financial analytics</t>
  </si>
  <si>
    <t>Q72</t>
  </si>
  <si>
    <t>A new financial management tool is being rolled out. How do you respond?</t>
  </si>
  <si>
    <t>A) Wait until it is mandatory before adopting it</t>
  </si>
  <si>
    <t>B) Attend the training and implement for my project</t>
  </si>
  <si>
    <t>C) Champion the tool adoption, train the team, customise for project needs, and contribute to tool improvement feedback</t>
  </si>
  <si>
    <t>D) Lead the enterprise rollout, design the change management approach, and coach project managers organisation-wide</t>
  </si>
  <si>
    <t>Q73</t>
  </si>
  <si>
    <t>You notice that 20% of project activities are adding no measurable value. What do you do?</t>
  </si>
  <si>
    <t>A) Continue them in case they add value later</t>
  </si>
  <si>
    <t>B) Raise the concern at the next project meeting</t>
  </si>
  <si>
    <t>C) Conduct a value engineering review, eliminate non-value-adding activities, and re-deploy resources to priority work</t>
  </si>
  <si>
    <t>D) Lead a lean project management transformation redesigning workflows to maximise value delivery across the portfolio</t>
  </si>
  <si>
    <t>Q74</t>
  </si>
  <si>
    <t>A vendor's invoice includes charges you believe are duplicated. What do you do?</t>
  </si>
  <si>
    <t>A) Pay it to maintain the relationship</t>
  </si>
  <si>
    <t>B) Ask the vendor to explain</t>
  </si>
  <si>
    <t>C) Conduct a detailed invoice audit against contract terms, reject duplicates, and negotiate a credit</t>
  </si>
  <si>
    <t>D) Implement a systematic vendor invoice assurance process across all contracts to prevent duplicate billing</t>
  </si>
  <si>
    <t>Q75</t>
  </si>
  <si>
    <t>How do you identify and implement cost savings without compromising project quality?</t>
  </si>
  <si>
    <t>A) Cut the smallest budget lines first</t>
  </si>
  <si>
    <t>B) Negotiate with vendors for better rates</t>
  </si>
  <si>
    <t>C) Conduct a structured cost-benefit analysis of all project workstreams and implement targeted efficiency measures</t>
  </si>
  <si>
    <t>D) Lead a strategic cost transformation programme balancing savings with quality assurance and long-term value</t>
  </si>
  <si>
    <t>Q76</t>
  </si>
  <si>
    <t>The project is showing a Schedule Variance (SV) of -15%. How do you interpret and act on this?</t>
  </si>
  <si>
    <t>A) It means the project is behind on cost</t>
  </si>
  <si>
    <t>B) It means the project is behind on schedule; I will monitor it</t>
  </si>
  <si>
    <t>C) It indicates schedule slippage; I will perform root cause analysis and propose a recovery plan with updated forecasts</t>
  </si>
  <si>
    <t>D) I use SV alongside CPI, SPI, and EAC to build a comprehensive performance recovery dashboard for executive review</t>
  </si>
  <si>
    <t>Q77</t>
  </si>
  <si>
    <t>At month 4 of 10, actual cost is 10% above the planned value. How do you forecast the final cost?</t>
  </si>
  <si>
    <t>A) Assume the overrun will not continue</t>
  </si>
  <si>
    <t>B) Add 10% to the original total budget</t>
  </si>
  <si>
    <t>C) Calculate EAC using EVM formulas and present multiple forecast scenarios</t>
  </si>
  <si>
    <t>D) Build a probabilistic cost forecast with confidence intervals and present scenario analysis to the board</t>
  </si>
  <si>
    <t>Q78</t>
  </si>
  <si>
    <t>How do you communicate a significant budget variance to senior leadership?</t>
  </si>
  <si>
    <t>A) Email the updated figures with no commentary</t>
  </si>
  <si>
    <t>B) Present the numbers at the next steering committee</t>
  </si>
  <si>
    <t>C) Prepare a structured variance report with root causes, revised forecast, corrective actions, and recommended decisions</t>
  </si>
  <si>
    <t>D) Lead a financial performance review with scenario modelling, strategic recommendations, and a governance action plan</t>
  </si>
  <si>
    <t>Q79</t>
  </si>
  <si>
    <t>How do you establish financial governance at the start of a project?</t>
  </si>
  <si>
    <t>A) Set up a shared spreadsheet for cost tracking</t>
  </si>
  <si>
    <t>B) Define a budget with approval thresholds and assign a finance point of contact</t>
  </si>
  <si>
    <t>C) Design a financial governance framework with approval authorities, reporting standards, and audit trails</t>
  </si>
  <si>
    <t>D) Lead enterprise financial governance design integrating project controls into corporate treasury and audit frameworks</t>
  </si>
  <si>
    <t>Q80</t>
  </si>
  <si>
    <t>A project team requests budget for an activity not in the approved scope. How do you respond?</t>
  </si>
  <si>
    <t>A) Approve it from contingency without formal process</t>
  </si>
  <si>
    <t>B) Reject it until a scope change is approved</t>
  </si>
  <si>
    <t>C) Follow the change control process, assess the request, and approve or reject through the governance structure</t>
  </si>
  <si>
    <t>D) Lead a scope and financial governance review, strengthening the change control framework for the project</t>
  </si>
  <si>
    <t>Q81</t>
  </si>
  <si>
    <t>How do you ensure resources are used optimally across a programme of projects?</t>
  </si>
  <si>
    <t>A) Each project manager manages their own resources</t>
  </si>
  <si>
    <t>B) Review resource usage in programme steering meetings</t>
  </si>
  <si>
    <t>C) Implement a resource management system with utilisation tracking, forecasting, and reallocation processes</t>
  </si>
  <si>
    <t>D) Design an enterprise resource optimisation strategy that balances supply and demand across the full project portfolio</t>
  </si>
  <si>
    <t xml:space="preserve">  6.   DIGITAL PM &amp; TECHNOLOGY INNOVATION</t>
  </si>
  <si>
    <t>Q82</t>
  </si>
  <si>
    <t>The team is using multiple disconnected tools for project tracking. What do you propose?</t>
  </si>
  <si>
    <t>A) Continue with current tools; integration is too complex</t>
  </si>
  <si>
    <t>B) Suggest one team consolidates onto a shared spreadsheet</t>
  </si>
  <si>
    <t>C) Assess current tools, define requirements, and lead the adoption of an integrated project management platform</t>
  </si>
  <si>
    <t>D) Lead an enterprise PM technology strategy, selecting, implementing, and governing tools at portfolio level</t>
  </si>
  <si>
    <t>Q83</t>
  </si>
  <si>
    <t>Project status reports are inconsistent across the team. What do you do?</t>
  </si>
  <si>
    <t>A) Accept variation since teams work differently</t>
  </si>
  <si>
    <t>B) Share a status report template for the team to use</t>
  </si>
  <si>
    <t>C) Design standardised reporting templates, train the team, and implement a reporting governance process</t>
  </si>
  <si>
    <t>D) Lead a digital project reporting transformation, automating status generation through integrated PM systems</t>
  </si>
  <si>
    <t>Q84</t>
  </si>
  <si>
    <t>A new project management platform is being evaluated for the organisation. How do you contribute?</t>
  </si>
  <si>
    <t>A) Wait to see which system is chosen</t>
  </si>
  <si>
    <t>B) Provide feedback based on my own experience</t>
  </si>
  <si>
    <t>C) Lead the requirements gathering, participate in system evaluation, and pilot the platform with my team</t>
  </si>
  <si>
    <t>D) Own the enterprise PM technology evaluation process and drive adoption organisation-wide</t>
  </si>
  <si>
    <t>Q85</t>
  </si>
  <si>
    <t>Repetitive project reporting tasks are consuming significant team time. What do you do?</t>
  </si>
  <si>
    <t>A) Accept it as part of the job</t>
  </si>
  <si>
    <t>B) Create a reporting template to speed up the process</t>
  </si>
  <si>
    <t>C) Identify automation opportunities using available tools and implement solutions</t>
  </si>
  <si>
    <t>D) Lead a digital workflow transformation using AI-driven automation to eliminate manual reporting across the programme</t>
  </si>
  <si>
    <t>Q86</t>
  </si>
  <si>
    <t>AI tools are being introduced in project scheduling. How do you respond?</t>
  </si>
  <si>
    <t>A) Avoid them until they are proven</t>
  </si>
  <si>
    <t>B) Attend a training session and experiment with the tools</t>
  </si>
  <si>
    <t>C) Develop a pilot implementation plan, evaluate performance, and recommend an adoption path</t>
  </si>
  <si>
    <t>D) Lead the organisation's AI-augmented PM strategy defining governance, training, and change management</t>
  </si>
  <si>
    <t>Q87</t>
  </si>
  <si>
    <t>How do you use data to drive efficiency improvements in project delivery?</t>
  </si>
  <si>
    <t>A) I rely on experience rather than data</t>
  </si>
  <si>
    <t>B) Review project data in retrospectives</t>
  </si>
  <si>
    <t>C) Implement data-driven performance metrics, build dashboards, and use insights to drive continuous improvement</t>
  </si>
  <si>
    <t>D) Lead an organisational analytics capability using AI and machine learning to predict performance and optimise delivery</t>
  </si>
  <si>
    <t>Q88</t>
  </si>
  <si>
    <t>Your organisation is implementing an ERP system that affects project workflows. What is your role?</t>
  </si>
  <si>
    <t>A) Wait for IT to implement it</t>
  </si>
  <si>
    <t>B) Attend demos and provide feedback</t>
  </si>
  <si>
    <t>C) Actively participate in the ERP rollout, define PM requirements, and lead change management for your team</t>
  </si>
  <si>
    <t>D) Lead the ERP transformation programme, aligning PM workflows and driving adoption at enterprise level</t>
  </si>
  <si>
    <t>Q89</t>
  </si>
  <si>
    <t>The ERP system is causing delays in project reporting due to poor configuration. What do you do?</t>
  </si>
  <si>
    <t>A) Revert to spreadsheets until it is fixed</t>
  </si>
  <si>
    <t>B) Raise the issue with IT</t>
  </si>
  <si>
    <t>C) Document configuration gaps, propose solutions, and work with IT to implement fixes with minimal disruption</t>
  </si>
  <si>
    <t>D) Lead a systems improvement initiative, redesign ERP-PM integration architecture, and drive resolution at executive level</t>
  </si>
  <si>
    <t>Q90</t>
  </si>
  <si>
    <t>How do you ensure project teams are effective after a major digital transformation?</t>
  </si>
  <si>
    <t>A) Let the team adapt on their own</t>
  </si>
  <si>
    <t>B) Organise training sessions on the new system</t>
  </si>
  <si>
    <t>C) Design a comprehensive change management and capability development plan, measure adoption, and support the team</t>
  </si>
  <si>
    <t>D) Lead enterprise change readiness and transformation capability development across the PM function</t>
  </si>
  <si>
    <t>Q91</t>
  </si>
  <si>
    <t>How do you leverage technology to improve stakeholder communication on your project?</t>
  </si>
  <si>
    <t>A) Send email updates</t>
  </si>
  <si>
    <t>B) Set up a shared drive for project documents</t>
  </si>
  <si>
    <t>C) Implement a stakeholder portal or collaboration platform with role-based access and automated notifications</t>
  </si>
  <si>
    <t>D) Design an integrated digital stakeholder engagement strategy with analytics and personalised dashboards</t>
  </si>
  <si>
    <t>Q92</t>
  </si>
  <si>
    <t>A new digital tool could improve project delivery significantly but requires change. How do you approach adoption?</t>
  </si>
  <si>
    <t>A) Wait for leadership to mandate it</t>
  </si>
  <si>
    <t>B) Pilot it with a willing team member</t>
  </si>
  <si>
    <t>C) Develop a business case, pilot systematically, measure outcomes, and recommend full adoption through governance</t>
  </si>
  <si>
    <t>D) Lead the innovation adoption programme, driving digital transformation across the PM function</t>
  </si>
  <si>
    <t>Q93</t>
  </si>
  <si>
    <t>How do you stay current with digital trends relevant to project management?</t>
  </si>
  <si>
    <t>A) I focus on delivery; digital trends are the IT team's concern</t>
  </si>
  <si>
    <t>B) Read articles occasionally and attend webinars</t>
  </si>
  <si>
    <t>C) Maintain a structured learning plan, attend industry conferences, and apply emerging practices to my projects</t>
  </si>
  <si>
    <t>D) Lead organisational digital intelligence, publishing thought leadership and driving the PM function's innovation agenda</t>
  </si>
  <si>
    <t>Q94</t>
  </si>
  <si>
    <t>A project management tool crashes repeatedly, impacting project tracking. What do you do?</t>
  </si>
  <si>
    <t>A) Revert to manual methods</t>
  </si>
  <si>
    <t>B) Log a help desk ticket and wait</t>
  </si>
  <si>
    <t>C) Diagnose the issue, implement a workaround, escalate with a documented business impact, and follow up until resolved</t>
  </si>
  <si>
    <t>D) Lead a systems resilience review and drive a long-term digital infrastructure improvement plan</t>
  </si>
  <si>
    <t>Q95</t>
  </si>
  <si>
    <t>How do you automate repetitive administrative tasks in project delivery?</t>
  </si>
  <si>
    <t>A) I do not have time to explore automation</t>
  </si>
  <si>
    <t>B) Use copy-paste templates</t>
  </si>
  <si>
    <t>C) Identify high-volume repetitive tasks, apply automation tools (macros, RPA, workflow automation), and measure time savings</t>
  </si>
  <si>
    <t>D) Lead intelligent automation adoption across the PM function using AI-driven tools to eliminate waste at scale</t>
  </si>
  <si>
    <t>Q96</t>
  </si>
  <si>
    <t>How do you troubleshoot a data discrepancy in your project management system?</t>
  </si>
  <si>
    <t>A) Use whichever figure seems most reasonable</t>
  </si>
  <si>
    <t>B) Ask IT to check the system</t>
  </si>
  <si>
    <t>C) Trace the data back to source systems, identify the discrepancy cause, correct it, and implement validation controls</t>
  </si>
  <si>
    <t>D) Lead a data governance review, redesign data integrity frameworks, and implement automated validation across PM systems</t>
  </si>
  <si>
    <t>Q97</t>
  </si>
  <si>
    <t>How do you build a case for investing in new PM technology?</t>
  </si>
  <si>
    <t>A) Request it informally from IT</t>
  </si>
  <si>
    <t>B) Identify the need and ask leadership for approval</t>
  </si>
  <si>
    <t>C) Develop a business case with ROI analysis, implementation plan, and risk assessment for leadership approval</t>
  </si>
  <si>
    <t>D) Lead a strategic technology investment review aligning PM technology roadmap to enterprise digital strategy</t>
  </si>
  <si>
    <t>Q98</t>
  </si>
  <si>
    <t>Your organisation has multiple outdated PM tools. How do you rationalise the technology landscape?</t>
  </si>
  <si>
    <t>A) Use what works for each project</t>
  </si>
  <si>
    <t>B) Recommend replacing one tool at a time</t>
  </si>
  <si>
    <t>C) Conduct a technology audit, develop a rationalisation roadmap, and lead a phased migration to optimised tools</t>
  </si>
  <si>
    <t>D) Lead an enterprise PM technology strategy governing the full technology portfolio and driving optimisation at scale</t>
  </si>
  <si>
    <t>Q99</t>
  </si>
  <si>
    <t>How do you ensure PM technology delivers lasting business value?</t>
  </si>
  <si>
    <t>A) Once implemented, technology manages itself</t>
  </si>
  <si>
    <t>B) Review usage data occasionally</t>
  </si>
  <si>
    <t>C) Implement usage monitoring, benefits tracking, and continuous improvement cycles for all PM technologies</t>
  </si>
  <si>
    <t>D) Design and own a PM technology value management framework presenting outcomes to the executive board</t>
  </si>
  <si>
    <t xml:space="preserve">  7.   OPERATIONS &amp; SUSTAINABILITY MANAGEMENT</t>
  </si>
  <si>
    <t>Q100</t>
  </si>
  <si>
    <t>A maintenance contractor is not meeting service levels. What is your response?</t>
  </si>
  <si>
    <t>A) Warn them informally and monitor</t>
  </si>
  <si>
    <t>B) Issue a formal notice referencing the contract</t>
  </si>
  <si>
    <t>C) Conduct a service performance review, invoke SLA remedies, implement an improvement plan, and escalate if unresolved</t>
  </si>
  <si>
    <t>D) Lead a strategic outsourcing review and redesign the maintenance governance model</t>
  </si>
  <si>
    <t>Q101</t>
  </si>
  <si>
    <t>How do you integrate sustainability into outsourced maintenance contracts?</t>
  </si>
  <si>
    <t>A) Sustainability is not relevant to maintenance contracts</t>
  </si>
  <si>
    <t>B) Ask contractors about their sustainability policies</t>
  </si>
  <si>
    <t>C) Include sustainability KPIs in contract specifications and monitor compliance through regular audits</t>
  </si>
  <si>
    <t>D) Lead a sustainable procurement strategy embedding ESG requirements across all vendor contracts and supply chains</t>
  </si>
  <si>
    <t>Q102</t>
  </si>
  <si>
    <t>An asset under project management has been poorly maintained by a third party, increasing project risk. What do you do?</t>
  </si>
  <si>
    <t>A) Document the issue and continue</t>
  </si>
  <si>
    <t>B) Request the contractor fix the problem</t>
  </si>
  <si>
    <t>C) Conduct an asset risk assessment, invoke contractual obligations, and develop a remediation plan</t>
  </si>
  <si>
    <t>D) Lead a comprehensive asset management review integrating maintenance performance into project risk governance</t>
  </si>
  <si>
    <t>Q103</t>
  </si>
  <si>
    <t>How do you integrate environmental sustainability into project planning?</t>
  </si>
  <si>
    <t>A) Sustainability is managed by the HSE team; I focus on delivery</t>
  </si>
  <si>
    <t>B) Include a sustainability section in the project plan</t>
  </si>
  <si>
    <t>C) Develop a project sustainability plan with measurable targets, embed it into the schedule, and track against KPIs</t>
  </si>
  <si>
    <t>D) Lead the organisation's sustainable project delivery framework linking outcomes to corporate ESG strategy</t>
  </si>
  <si>
    <t>Q104</t>
  </si>
  <si>
    <t>A project activity is found to be non-compliant with environmental regulations. What do you do?</t>
  </si>
  <si>
    <t>A) Continue and address it after delivery</t>
  </si>
  <si>
    <t>B) Pause the activity and notify the client</t>
  </si>
  <si>
    <t>C) Stop the activity immediately, investigate, notify all relevant parties, and develop a compliance remediation plan</t>
  </si>
  <si>
    <t>D) Lead a sustainability compliance emergency response and strengthen compliance governance across the programme</t>
  </si>
  <si>
    <t>Q105</t>
  </si>
  <si>
    <t>How do you measure the sustainability performance of your project?</t>
  </si>
  <si>
    <t>A) I do not currently measure sustainability</t>
  </si>
  <si>
    <t>B) Include carbon footprint data in the project report</t>
  </si>
  <si>
    <t>C) Define sustainability KPIs at project outset, collect data regularly, and report against targets in governance reviews</t>
  </si>
  <si>
    <t>D) Lead the development of an organisational project sustainability scorecard aligned to global ESG frameworks</t>
  </si>
  <si>
    <t>Q106</t>
  </si>
  <si>
    <t>How do you assess a new vendor's sustainability credentials before awarding a contract?</t>
  </si>
  <si>
    <t>A) Focus on cost and capability; sustainability is secondary</t>
  </si>
  <si>
    <t>B) Review the vendor's website for sustainability statements</t>
  </si>
  <si>
    <t>C) Conduct a formal vendor sustainability assessment using a structured questionnaire and evaluate against defined criteria</t>
  </si>
  <si>
    <t>D) Lead a sustainable supply chain governance programme with third-party audits, ESG scoring, and board-level reporting</t>
  </si>
  <si>
    <t>Q107</t>
  </si>
  <si>
    <t>A vendor is found to have poor labour practices in their supply chain. What do you do?</t>
  </si>
  <si>
    <t>A) Continue the contract if they are performing well</t>
  </si>
  <si>
    <t>B) Raise the concern with the vendor informally</t>
  </si>
  <si>
    <t>C) Formally investigate, apply contractual remedies related to ethical standards, and escalate to the procurement team</t>
  </si>
  <si>
    <t>D) Lead an ethical supply chain review, strengthen vendor conduct requirements, and present findings to the ethics committee</t>
  </si>
  <si>
    <t>Q108</t>
  </si>
  <si>
    <t>How do you monitor vendor compliance with sustainability commitments throughout a contract?</t>
  </si>
  <si>
    <t>A) Review at contract close</t>
  </si>
  <si>
    <t>B) Ask vendors to self-report</t>
  </si>
  <si>
    <t>C) Implement a vendor compliance tracker with regular audits, data verification, and contractual remedies for non-compliance</t>
  </si>
  <si>
    <t>D) Design an enterprise vendor sustainability monitoring system with real-time dashboards and automated compliance alerts</t>
  </si>
  <si>
    <t>Q109</t>
  </si>
  <si>
    <t>How do you reduce the environmental footprint of project operations?</t>
  </si>
  <si>
    <t>A) Sustainability improvements are not within my project scope</t>
  </si>
  <si>
    <t>B) Encourage the team to reduce paper use</t>
  </si>
  <si>
    <t>C) Develop a project environmental management plan with targeted reduction measures and digital alternatives</t>
  </si>
  <si>
    <t>D) Lead a project sustainability transformation, achieving measurable carbon reduction and presenting outcomes to the board</t>
  </si>
  <si>
    <t>Q110</t>
  </si>
  <si>
    <t>Digitalising a project process could eliminate unnecessary travel and reduce costs. What do you do?</t>
  </si>
  <si>
    <t>A) Keep current processes; change is disruptive</t>
  </si>
  <si>
    <t>B) Suggest the idea informally</t>
  </si>
  <si>
    <t>C) Develop a business case for the digital process, pilot it, measure outcomes, and recommend full adoption</t>
  </si>
  <si>
    <t>D) Lead a digital sustainability initiative redesigning processes organisation-wide to reduce environmental impact</t>
  </si>
  <si>
    <t>Q111</t>
  </si>
  <si>
    <t>An outsourced service has been identified as a significant carbon emitter. What do you do?</t>
  </si>
  <si>
    <t>A) Accept it as an industry norm</t>
  </si>
  <si>
    <t>B) Raise the concern with the vendor</t>
  </si>
  <si>
    <t>C) Conduct a carbon impact assessment, explore low-emission alternatives, and negotiate a sustainability improvement plan</t>
  </si>
  <si>
    <t>D) Lead a strategic decarbonisation initiative for the outsourced service aligning to net-zero commitments</t>
  </si>
  <si>
    <t>Q112</t>
  </si>
  <si>
    <t>How do you encourage vendors to innovate in sustainability practices?</t>
  </si>
  <si>
    <t>A) It is not my responsibility to manage vendor sustainability</t>
  </si>
  <si>
    <t>B) Share sustainability goals with the vendor at contract kick-off</t>
  </si>
  <si>
    <t>C) Include innovation clauses in contracts, facilitate joint sustainability workshops, and recognise high-performing vendors</t>
  </si>
  <si>
    <t>D) Lead a vendor sustainability partnership programme co-creating innovation roadmaps and presenting at industry forums</t>
  </si>
  <si>
    <t>Q113</t>
  </si>
  <si>
    <t>A vendor proposes a more sustainable method that adds 5% to cost. How do you evaluate this?</t>
  </si>
  <si>
    <t>A) Reject it; stay on budget</t>
  </si>
  <si>
    <t>B) Present it to the sponsor without recommendation</t>
  </si>
  <si>
    <t>C) Conduct a cost-benefit analysis including sustainability and long-term value, and present a balanced recommendation</t>
  </si>
  <si>
    <t>D) Lead a strategic sustainability value assessment aligning the decision to corporate ESG goals and long-term ROI</t>
  </si>
  <si>
    <t>Q114</t>
  </si>
  <si>
    <t>How do you build long-term sustainable value from vendor relationships?</t>
  </si>
  <si>
    <t>A) Focus on short-term delivery and cost</t>
  </si>
  <si>
    <t>B) Maintain good communication and renew contracts with good vendors</t>
  </si>
  <si>
    <t>C) Develop a strategic vendor partnership framework with shared sustainability goals and joint reviews</t>
  </si>
  <si>
    <t>D) Lead enterprise strategic sourcing designing vendor ecosystems that deliver systemic sustainability value</t>
  </si>
  <si>
    <t>Q115</t>
  </si>
  <si>
    <t>How do you ensure value for money from maintenance contracts?</t>
  </si>
  <si>
    <t>A) Compare annual invoices to budget</t>
  </si>
  <si>
    <t>B) Review performance once a year</t>
  </si>
  <si>
    <t>C) Implement a structured vendor performance management system with KPIs, regular reviews, and benchmarking</t>
  </si>
  <si>
    <t>D) Lead a total cost of ownership analysis across all maintenance contracts and drive strategic value improvements</t>
  </si>
  <si>
    <t>Q116</t>
  </si>
  <si>
    <t>A maintenance contract is due for renewal. What is your approach?</t>
  </si>
  <si>
    <t>A) Renew with the same terms</t>
  </si>
  <si>
    <t>B) Negotiate a small discount with the current vendor</t>
  </si>
  <si>
    <t>C) Conduct a market benchmarking exercise, evaluate alternatives, and negotiate improved terms or re-tender</t>
  </si>
  <si>
    <t>D) Lead a strategic sourcing review, align the new contract to operational and sustainability strategy, and engage the board</t>
  </si>
  <si>
    <t>Q117</t>
  </si>
  <si>
    <t>How do you drive continuous improvement in vendor performance?</t>
  </si>
  <si>
    <t>A) Address issues when they arise</t>
  </si>
  <si>
    <t>B) Conduct an annual vendor review</t>
  </si>
  <si>
    <t>C) Implement a vendor development programme with quarterly reviews, improvement targets, and incentives</t>
  </si>
  <si>
    <t>D) Lead a strategic vendor excellence programme that benchmarks against world-class standards</t>
  </si>
  <si>
    <t xml:space="preserve">  8.   PROFESSIONAL CERTIFICATIONS</t>
  </si>
  <si>
    <t>Q118</t>
  </si>
  <si>
    <t>Your organisation values professional certifications for PM roles. What is your current approach?</t>
  </si>
  <si>
    <t>A) I have not pursued any certifications</t>
  </si>
  <si>
    <t>B) I plan to pursue a certification in the next 2 years</t>
  </si>
  <si>
    <t>C) I hold a relevant certification (e.g. PMP, PRINCE2) and actively apply the knowledge in my role</t>
  </si>
  <si>
    <t>D) I hold multiple advanced certifications, mentor colleagues, and contribute to PM standards bodies</t>
  </si>
  <si>
    <t>Q119</t>
  </si>
  <si>
    <t>A new certification relevant to your role has just been accredited. How do you respond?</t>
  </si>
  <si>
    <t>A) Ignore it for now</t>
  </si>
  <si>
    <t>B) Research it and add it to my future development plans</t>
  </si>
  <si>
    <t>C) Evaluate its relevance, discuss with my line manager, and pursue it within the current PDR cycle</t>
  </si>
  <si>
    <t>D) Lead the organisation's adoption of the certification and create an internal training pathway</t>
  </si>
  <si>
    <t>Q120</t>
  </si>
  <si>
    <t>How do you apply knowledge from professional certifications to your daily work?</t>
  </si>
  <si>
    <t>A) The certification knowledge and day-to-day work are largely separate</t>
  </si>
  <si>
    <t>B) I occasionally reference certification materials</t>
  </si>
  <si>
    <t>C) I systematically apply certification frameworks and tools to all projects and adapt them to organisational context</t>
  </si>
  <si>
    <t>D) I champion certified best practice across the PM function and contribute to methodology development</t>
  </si>
  <si>
    <t>Q121</t>
  </si>
  <si>
    <t>How does your professional certification improve project outcomes?</t>
  </si>
  <si>
    <t>A) It does not directly improve outcomes; it is mainly a credential</t>
  </si>
  <si>
    <t>B) It gives me confidence and a structured approach</t>
  </si>
  <si>
    <t>C) I directly apply certification methodologies to improve planning, governance, risk, and stakeholder management</t>
  </si>
  <si>
    <t>D) I lead the transformation of PM delivery quality using certification-based excellence frameworks</t>
  </si>
  <si>
    <t>Q122</t>
  </si>
  <si>
    <t>A project is struggling with poor governance. How do you apply your PM certification knowledge?</t>
  </si>
  <si>
    <t>A) The project was planned before I was involved; I cannot change it</t>
  </si>
  <si>
    <t>B) Share relevant certification frameworks with the team informally</t>
  </si>
  <si>
    <t>C) Conduct a project health check using certified governance standards and implement a structured improvement plan</t>
  </si>
  <si>
    <t>D) Lead a programme-wide governance redesign using advanced certification frameworks and present a maturity roadmap</t>
  </si>
  <si>
    <t>Q123</t>
  </si>
  <si>
    <t>You are leading a project in a new sector. How does your certification help?</t>
  </si>
  <si>
    <t>A) Certifications are general; sector knowledge matters more</t>
  </si>
  <si>
    <t>B) I apply basic certified PM principles while learning the sector</t>
  </si>
  <si>
    <t>C) I adapt certified PM methodologies to sector-specific requirements and seek expert input to close knowledge gaps</t>
  </si>
  <si>
    <t>D) I bring deep certified PM expertise, mentor sector specialists, and elevate overall delivery quality</t>
  </si>
  <si>
    <t>Q124</t>
  </si>
  <si>
    <t>How do you use your PM certification to ensure regulatory compliance on projects?</t>
  </si>
  <si>
    <t>A) Compliance is a legal/HSE matter; my certification is project-focused</t>
  </si>
  <si>
    <t>B) I reference compliance requirements when planning</t>
  </si>
  <si>
    <t>C) I integrate compliance into the certified PM framework, building it into governance and risk processes</t>
  </si>
  <si>
    <t>D) I lead compliance excellence across the PM function, aligning regulatory requirements to certified standards</t>
  </si>
  <si>
    <t>Q125</t>
  </si>
  <si>
    <t>A team member questions the value of formal PM certifications. How do you respond?</t>
  </si>
  <si>
    <t>A) Agree that experience is more valuable</t>
  </si>
  <si>
    <t>B) Explain the career benefits of certification</t>
  </si>
  <si>
    <t>C) Demonstrate with evidence how certification has improved project outcomes and share learning resources</t>
  </si>
  <si>
    <t>D) Lead a capability development strategy that quantifies the ROI of certification and embeds it in the talent framework</t>
  </si>
  <si>
    <t>Q126</t>
  </si>
  <si>
    <t>How do you keep your PM certification knowledge current?</t>
  </si>
  <si>
    <t>A) I completed the certification and have not revisited it</t>
  </si>
  <si>
    <t>B) I renew my CPD points as required</t>
  </si>
  <si>
    <t>C) I actively pursue continuing education, attend industry events, and apply new learning to my practice</t>
  </si>
  <si>
    <t>D) I lead the organisation's PM knowledge management programme curating and sharing best practices</t>
  </si>
  <si>
    <t>Q127</t>
  </si>
  <si>
    <t>Your organisation's PM governance is informal and inconsistent. How do you improve it using certification knowledge?</t>
  </si>
  <si>
    <t>A) Governance is leadership's responsibility</t>
  </si>
  <si>
    <t>B) Share certified governance frameworks with relevant team members</t>
  </si>
  <si>
    <t>C) Conduct a governance maturity assessment, design improvements, and implement with leadership buy-in</t>
  </si>
  <si>
    <t>D) Lead an enterprise PM governance transformation programme and present to the board</t>
  </si>
  <si>
    <t>Q128</t>
  </si>
  <si>
    <t>How do you develop PM governance maturity in your organisation?</t>
  </si>
  <si>
    <t>A) Let it develop organically through project experience</t>
  </si>
  <si>
    <t>B) Recommend PM training to team members</t>
  </si>
  <si>
    <t>C) Conduct a PM maturity assessment, design a roadmap, and implement improvements aligned to certification standards</t>
  </si>
  <si>
    <t>D) Lead an organisational PM transformation, establishing a PMO using certified best practices</t>
  </si>
  <si>
    <t>Q129</t>
  </si>
  <si>
    <t>A digital transformation project requires updated PM methodologies. How do you respond?</t>
  </si>
  <si>
    <t>A) Apply existing PM methods as they are</t>
  </si>
  <si>
    <t>B) Research agile or hybrid approaches and share with the team</t>
  </si>
  <si>
    <t>C) Evaluate agile/hybrid certified frameworks, design an appropriate methodology, and pilot on the project</t>
  </si>
  <si>
    <t>D) Lead the enterprise adoption of certified agile/hybrid PM methods and govern the transition</t>
  </si>
  <si>
    <t>Q130</t>
  </si>
  <si>
    <t>How do you build a learning culture within your project team?</t>
  </si>
  <si>
    <t>A) Learning happens naturally through project experience</t>
  </si>
  <si>
    <t>B) Share articles and encourage reading</t>
  </si>
  <si>
    <t>C) Design team learning plans, facilitate knowledge-sharing sessions, and link learning to project performance</t>
  </si>
  <si>
    <t>D) Lead an organisational learning and development strategy for the PM function</t>
  </si>
  <si>
    <t>Q131</t>
  </si>
  <si>
    <t>You identify a skills gap in your team that is affecting delivery. What do you do?</t>
  </si>
  <si>
    <t>A) Accept the limitation and work around it</t>
  </si>
  <si>
    <t>B) Encourage the team member to self-develop</t>
  </si>
  <si>
    <t>C) Design a targeted development plan with certified training, mentoring, and performance milestones</t>
  </si>
  <si>
    <t>D) Lead a PM capability development programme addressing systemic skills gaps using certification pathways</t>
  </si>
  <si>
    <t>Q132</t>
  </si>
  <si>
    <t>How do you use lessons learned from projects to improve future delivery?</t>
  </si>
  <si>
    <t>A) Document them at project close and file them away</t>
  </si>
  <si>
    <t>B) Share lessons in team meetings</t>
  </si>
  <si>
    <t>C) Implement a structured lessons-learned process linked to a knowledge base and integrate findings into future project plans</t>
  </si>
  <si>
    <t>D) Lead a PM knowledge management system turning lessons into organisational intellectual capital and published standards</t>
  </si>
  <si>
    <t>Q133</t>
  </si>
  <si>
    <t>How do you align PM certification standards to organisational strategy?</t>
  </si>
  <si>
    <t>A) Certification knowledge and organisational strategy are separate domains</t>
  </si>
  <si>
    <t>B) Mention strategic alignment in project documentation</t>
  </si>
  <si>
    <t>C) Map PM certification frameworks to strategic objectives and use them to design governance that delivers strategic value</t>
  </si>
  <si>
    <t>D) Lead the design of a PM strategy framework embedding certified best practice into corporate strategy execution</t>
  </si>
  <si>
    <t>Q134</t>
  </si>
  <si>
    <t>Leadership wants to understand the ROI of investing in PM certifications. How do you respond?</t>
  </si>
  <si>
    <t>A) Certifications improve morale; ROI is hard to quantify</t>
  </si>
  <si>
    <t>B) Share industry data on the value of PM certification</t>
  </si>
  <si>
    <t>C) Build a business case with data on delivery improvement, cost avoidance, and risk reduction linked to certified capability</t>
  </si>
  <si>
    <t>D) Lead an enterprise capability ROI study presenting investment value to the board with strategic recommendations</t>
  </si>
  <si>
    <t>Q135</t>
  </si>
  <si>
    <t>How do you use PM certification expertise to drive competitive advantage?</t>
  </si>
  <si>
    <t>A) Certifications are personal credentials; competitive advantage comes from elsewhere</t>
  </si>
  <si>
    <t>B) Reference certifications in bids and client proposals</t>
  </si>
  <si>
    <t>C) Leverage certified PM expertise to differentiate project delivery quality and win new business</t>
  </si>
  <si>
    <t>D) Build a certified PM centre of excellence positioning the organisation as an industry leader in project delivery</t>
  </si>
  <si>
    <t>PM COMPETENCY QUESTIONNAIRE — RESULTS &amp; COMPETENCY MAP</t>
  </si>
  <si>
    <t>Auto-calculated from questionnaire responses  |  Competency Scale: 1=Amateur  2=Collaborator  3=Enabler  4=Driving Force</t>
  </si>
  <si>
    <t>#</t>
  </si>
  <si>
    <t>Sub-Code</t>
  </si>
  <si>
    <t>Sub-Competency Name</t>
  </si>
  <si>
    <t>Competency Area</t>
  </si>
  <si>
    <t>Q1 Score</t>
  </si>
  <si>
    <t>Q2 Score</t>
  </si>
  <si>
    <t>Q3 Score</t>
  </si>
  <si>
    <t>Avg Score</t>
  </si>
  <si>
    <t>Competency Level</t>
  </si>
  <si>
    <t xml:space="preserve">  1.  Root Cause Analysis &amp; Risk Assessment</t>
  </si>
  <si>
    <t>1.1</t>
  </si>
  <si>
    <t>Root Cause &amp; Risk Management Mastery</t>
  </si>
  <si>
    <t>Root Cause Analysis &amp; Risk Assessment</t>
  </si>
  <si>
    <t>1.2</t>
  </si>
  <si>
    <t>Strategic Risk &amp; Failure Prevention</t>
  </si>
  <si>
    <t>1.3</t>
  </si>
  <si>
    <t>Integrated Risk &amp; Impact Analysis</t>
  </si>
  <si>
    <t>1.4</t>
  </si>
  <si>
    <t>Proactive Risk &amp; Operational Resilience</t>
  </si>
  <si>
    <t>1.5</t>
  </si>
  <si>
    <t>Executive Risk Strategy &amp; Innovation</t>
  </si>
  <si>
    <t xml:space="preserve">  2.  Stakeholder &amp; Contract Management</t>
  </si>
  <si>
    <t>2.1</t>
  </si>
  <si>
    <t>Stakeholder &amp; Contract Governance</t>
  </si>
  <si>
    <t>Stakeholder &amp; Contract Management</t>
  </si>
  <si>
    <t>2.2</t>
  </si>
  <si>
    <t>Stakeholder &amp; Contract Negotiation</t>
  </si>
  <si>
    <t>2.3</t>
  </si>
  <si>
    <t>Stakeholder-Centric Contract Governance</t>
  </si>
  <si>
    <t>2.4</t>
  </si>
  <si>
    <t>Strategic Contract Compliance</t>
  </si>
  <si>
    <t>2.5</t>
  </si>
  <si>
    <t>Ethical Stakeholder Leadership</t>
  </si>
  <si>
    <t>2.6</t>
  </si>
  <si>
    <t>Stakeholder &amp; Contract Performance</t>
  </si>
  <si>
    <t xml:space="preserve">  3.  Project Planning &amp; Execution</t>
  </si>
  <si>
    <t>3.1</t>
  </si>
  <si>
    <t>Enterprise Project Strategy &amp; Execution</t>
  </si>
  <si>
    <t>Project Planning &amp; Execution</t>
  </si>
  <si>
    <t>3.2</t>
  </si>
  <si>
    <t>Strategic Project Planning &amp; Optimization</t>
  </si>
  <si>
    <t>3.3</t>
  </si>
  <si>
    <t>Project Governance &amp; Compliance</t>
  </si>
  <si>
    <t>3.4</t>
  </si>
  <si>
    <t>Project Monitoring &amp; Refinement</t>
  </si>
  <si>
    <t>3.5</t>
  </si>
  <si>
    <t>Cross-Functional Project Leadership</t>
  </si>
  <si>
    <t xml:space="preserve">  4.  Proposal Development &amp; Internal Coordination</t>
  </si>
  <si>
    <t>4.1</t>
  </si>
  <si>
    <t>Proposal Development &amp; Governance</t>
  </si>
  <si>
    <t>Proposal Development &amp; Internal Coordination</t>
  </si>
  <si>
    <t>4.2</t>
  </si>
  <si>
    <t>Proposal Alignment &amp; Optimization</t>
  </si>
  <si>
    <t>4.3</t>
  </si>
  <si>
    <t>Communication &amp; Negotiation Excellence</t>
  </si>
  <si>
    <t>4.4</t>
  </si>
  <si>
    <t>Proposal Governance Strategy</t>
  </si>
  <si>
    <t>4.5</t>
  </si>
  <si>
    <t>Proposal Excellence &amp; Impact</t>
  </si>
  <si>
    <t xml:space="preserve">  5.  Resource Management &amp; Budget Control</t>
  </si>
  <si>
    <t>5.1</t>
  </si>
  <si>
    <t>Enterprise Budgeting &amp; Resource Optimization</t>
  </si>
  <si>
    <t>Resource Management &amp; Budget Control</t>
  </si>
  <si>
    <t>5.2</t>
  </si>
  <si>
    <t>Financial Compliance &amp; Resource Governance</t>
  </si>
  <si>
    <t>5.3</t>
  </si>
  <si>
    <t>Financial Automation &amp; Optimization</t>
  </si>
  <si>
    <t>5.4</t>
  </si>
  <si>
    <t>Cost Efficiency &amp; Waste Reduction</t>
  </si>
  <si>
    <t>5.5</t>
  </si>
  <si>
    <t>Budget Variance Analysis &amp; Optimization</t>
  </si>
  <si>
    <t>5.6</t>
  </si>
  <si>
    <t>Financial Governance &amp; Resource Optimization</t>
  </si>
  <si>
    <t xml:space="preserve">  6.  Digital PM &amp; Technology Innovation</t>
  </si>
  <si>
    <t>6.1</t>
  </si>
  <si>
    <t>PM System Optimization</t>
  </si>
  <si>
    <t>Digital PM &amp; Technology Innovation</t>
  </si>
  <si>
    <t>6.2</t>
  </si>
  <si>
    <t>AI-Driven Digital Efficiency &amp; Automation</t>
  </si>
  <si>
    <t>6.3</t>
  </si>
  <si>
    <t>AI-Driven ERP Transformation</t>
  </si>
  <si>
    <t>6.4</t>
  </si>
  <si>
    <t>IT Enablement &amp; Digital Innovation</t>
  </si>
  <si>
    <t>6.5</t>
  </si>
  <si>
    <t>IT Troubleshooting &amp; Intelligent Automation</t>
  </si>
  <si>
    <t>6.6</t>
  </si>
  <si>
    <t>IT Optimization &amp; Automation Strategy</t>
  </si>
  <si>
    <t xml:space="preserve">  7.  Operations &amp; Sustainability Management</t>
  </si>
  <si>
    <t>7.1</t>
  </si>
  <si>
    <t>Outsourced Maintenance &amp; Sustainability</t>
  </si>
  <si>
    <t>Operations &amp; Sustainability Management</t>
  </si>
  <si>
    <t>7.2</t>
  </si>
  <si>
    <t>Sustainability Integration &amp; Compliance</t>
  </si>
  <si>
    <t>7.3</t>
  </si>
  <si>
    <t>Vendor Governance &amp; Sustainability</t>
  </si>
  <si>
    <t>7.4</t>
  </si>
  <si>
    <t>Sustainable Outsourcing &amp; Digital Efficiency</t>
  </si>
  <si>
    <t>7.5</t>
  </si>
  <si>
    <t>Sustainable Vendor Management &amp; Innovation</t>
  </si>
  <si>
    <t>7.6</t>
  </si>
  <si>
    <t>Maintenance &amp; Vendor Excellence</t>
  </si>
  <si>
    <t xml:space="preserve">  8.  Professional Certifications</t>
  </si>
  <si>
    <t>8.1</t>
  </si>
  <si>
    <t>Certification Progression &amp; Expertise</t>
  </si>
  <si>
    <t>Professional Certifications</t>
  </si>
  <si>
    <t>8.2</t>
  </si>
  <si>
    <t>Certification-Driven Project Excellence</t>
  </si>
  <si>
    <t>8.3</t>
  </si>
  <si>
    <t>Certification-Based Leadership &amp; Compliance</t>
  </si>
  <si>
    <t>8.4</t>
  </si>
  <si>
    <t>Certification-Based Governance &amp; Transformation</t>
  </si>
  <si>
    <t>8.5</t>
  </si>
  <si>
    <t>Certification-Driven Continuous Learning</t>
  </si>
  <si>
    <t>8.6</t>
  </si>
  <si>
    <t>Certification-Driven Leadership &amp; Strategic Alignment</t>
  </si>
  <si>
    <t xml:space="preserve">  ★  COMPETENCY AREA SUMMARY</t>
  </si>
  <si>
    <t>Area #</t>
  </si>
  <si>
    <t># Sub-Comps</t>
  </si>
  <si>
    <t>Avg Q Score</t>
  </si>
  <si>
    <t>Action</t>
  </si>
  <si>
    <t>★</t>
  </si>
  <si>
    <t>OVERALL QUESTIONNAIRE COMPETENCY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</si>
</sst>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charset val="1"/>
    </font>
    <font>
      <b/>
      <sz val="20"/>
      <color rgb="FFFFFFFF"/>
      <name val="Cambria"/>
      <charset val="1"/>
    </font>
    <font>
      <sz val="6"/>
      <color rgb="FF444444"/>
      <name val="Cambria"/>
      <charset val="1"/>
    </font>
    <font>
      <b/>
      <sz val="22"/>
      <color rgb="FF1F4E79"/>
      <name val="Cambria"/>
      <charset val="1"/>
    </font>
    <font>
      <sz val="14"/>
      <color rgb="FF444444"/>
      <name val="Cambria"/>
      <charset val="1"/>
    </font>
    <font>
      <b/>
      <sz val="16"/>
      <color rgb="FF1F4E79"/>
      <name val="Cambria"/>
      <charset val="1"/>
    </font>
    <font>
      <sz val="12"/>
      <color rgb="FF444444"/>
      <name val="Cambria"/>
      <charset val="1"/>
    </font>
    <font>
      <b/>
      <sz val="14"/>
      <color rgb="FF1F4E79"/>
      <name val="Cambria"/>
      <charset val="1"/>
    </font>
    <font>
      <b/>
      <sz val="18"/>
      <color rgb="FFFFFFFF"/>
      <name val="Cambria"/>
      <charset val="1"/>
    </font>
    <font>
      <i/>
      <sz val="10"/>
      <color rgb="FF444444"/>
      <name val="Cambria"/>
      <charset val="1"/>
    </font>
    <font>
      <b/>
      <sz val="10"/>
      <name val="Cambria"/>
      <charset val="1"/>
    </font>
    <font>
      <b/>
      <sz val="11"/>
      <color rgb="FFFFFFFF"/>
      <name val="Cambria"/>
      <charset val="1"/>
    </font>
    <font>
      <b/>
      <sz val="10"/>
      <color rgb="FFFFFFFF"/>
      <name val="Cambria"/>
      <charset val="1"/>
    </font>
    <font>
      <b/>
      <sz val="10"/>
      <color rgb="FF1A1A1A"/>
      <name val="Cambria"/>
      <charset val="1"/>
    </font>
    <font>
      <b/>
      <sz val="9"/>
      <color rgb="FF1F4E79"/>
      <name val="Cambria"/>
      <charset val="1"/>
    </font>
    <font>
      <b/>
      <sz val="10"/>
      <color rgb="FF444444"/>
      <name val="Cambria"/>
      <charset val="1"/>
    </font>
    <font>
      <sz val="9"/>
      <color rgb="FF444444"/>
      <name val="Cambria"/>
      <charset val="1"/>
    </font>
    <font>
      <b/>
      <sz val="16"/>
      <color rgb="FFFFFFFF"/>
      <name val="Cambria"/>
      <charset val="1"/>
    </font>
    <font>
      <i/>
      <sz val="9"/>
      <color rgb="FF444444"/>
      <name val="Cambria"/>
      <charset val="1"/>
    </font>
    <font>
      <b/>
      <sz val="9"/>
      <color rgb="FFFFFFFF"/>
      <name val="Cambria"/>
      <charset val="1"/>
    </font>
    <font>
      <sz val="9"/>
      <name val="Cambria"/>
      <charset val="1"/>
    </font>
    <font>
      <i/>
      <sz val="8"/>
      <color rgb="FF666666"/>
      <name val="Cambria"/>
      <charset val="1"/>
    </font>
    <font>
      <b/>
      <sz val="9"/>
      <name val="Cambria"/>
      <charset val="1"/>
    </font>
    <font>
      <b/>
      <sz val="12"/>
      <color rgb="FFFFFFFF"/>
      <name val="Cambria"/>
      <charset val="1"/>
    </font>
  </fonts>
  <fills count="19">
    <fill>
      <patternFill patternType="none"/>
    </fill>
    <fill>
      <patternFill patternType="gray125"/>
    </fill>
    <fill>
      <patternFill patternType="solid">
        <fgColor rgb="FF1F4E79"/>
        <bgColor rgb="FF003366"/>
      </patternFill>
    </fill>
    <fill>
      <patternFill patternType="solid">
        <fgColor rgb="FFD6E4F0"/>
        <bgColor rgb="FFDBEAFE"/>
      </patternFill>
    </fill>
    <fill>
      <patternFill patternType="solid">
        <fgColor rgb="FFFFFACD"/>
        <bgColor rgb="FFFFF8F0"/>
      </patternFill>
    </fill>
    <fill>
      <patternFill patternType="solid">
        <fgColor rgb="FF2E75B6"/>
        <bgColor rgb="FF0066CC"/>
      </patternFill>
    </fill>
    <fill>
      <patternFill patternType="solid">
        <fgColor rgb="FFDBEAFE"/>
        <bgColor rgb="FFD6E4F0"/>
      </patternFill>
    </fill>
    <fill>
      <patternFill patternType="solid">
        <fgColor rgb="FFFFF8F0"/>
        <bgColor rgb="FFFFF0F8"/>
      </patternFill>
    </fill>
    <fill>
      <patternFill patternType="solid">
        <fgColor rgb="FFF0FFF0"/>
        <bgColor rgb="FFFFFFFF"/>
      </patternFill>
    </fill>
    <fill>
      <patternFill patternType="solid">
        <fgColor rgb="FFF0F0FF"/>
        <bgColor rgb="FFEBF3FB"/>
      </patternFill>
    </fill>
    <fill>
      <patternFill patternType="solid">
        <fgColor rgb="FFFFF0F8"/>
        <bgColor rgb="FFFFF8F0"/>
      </patternFill>
    </fill>
    <fill>
      <patternFill patternType="solid">
        <fgColor rgb="FF0D9488"/>
        <bgColor rgb="FF339966"/>
      </patternFill>
    </fill>
    <fill>
      <patternFill patternType="solid">
        <fgColor rgb="FF7B2D8B"/>
        <bgColor rgb="FF800080"/>
      </patternFill>
    </fill>
    <fill>
      <patternFill patternType="solid">
        <fgColor rgb="FFB45309"/>
        <bgColor rgb="FF9C2A10"/>
      </patternFill>
    </fill>
    <fill>
      <patternFill patternType="solid">
        <fgColor rgb="FF0F766E"/>
        <bgColor rgb="FF166534"/>
      </patternFill>
    </fill>
    <fill>
      <patternFill patternType="solid">
        <fgColor rgb="FF166534"/>
        <bgColor rgb="FF0F766E"/>
      </patternFill>
    </fill>
    <fill>
      <patternFill patternType="solid">
        <fgColor rgb="FF9C2A10"/>
        <bgColor rgb="FFB45309"/>
      </patternFill>
    </fill>
    <fill>
      <patternFill patternType="solid">
        <fgColor rgb="FFEBF3FB"/>
        <bgColor rgb="FFF0F0FF"/>
      </patternFill>
    </fill>
    <fill>
      <patternFill patternType="solid">
        <fgColor rgb="FFFFFFFF"/>
        <bgColor rgb="FFFFF8F0"/>
      </patternFill>
    </fill>
  </fills>
  <borders count="6">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style="thin">
        <color rgb="FFDDDDDD"/>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AAAAAA"/>
      </left>
      <right style="thin">
        <color rgb="FFAAAAAA"/>
      </right>
      <top style="thin">
        <color rgb="FFAAAAAA"/>
      </top>
      <bottom/>
      <diagonal/>
    </border>
  </borders>
  <cellStyleXfs count="1">
    <xf numFmtId="0" fontId="0" fillId="0" borderId="0"/>
  </cellStyleXfs>
  <cellXfs count="65">
    <xf numFmtId="0" fontId="0" fillId="0" borderId="0" xfId="0"/>
    <xf numFmtId="0" fontId="1" fillId="2" borderId="0" xfId="0" applyFont="1" applyFill="1" applyAlignment="1">
      <alignment horizontal="center" vertical="center"/>
    </xf>
    <xf numFmtId="0" fontId="2" fillId="0" borderId="0" xfId="0" applyFont="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wrapText="1"/>
    </xf>
    <xf numFmtId="0" fontId="5" fillId="3" borderId="0" xfId="0" applyFont="1" applyFill="1" applyAlignment="1">
      <alignment horizontal="left" vertical="center" wrapText="1"/>
    </xf>
    <xf numFmtId="0" fontId="6" fillId="0" borderId="0" xfId="0" applyFont="1" applyAlignment="1">
      <alignment horizontal="left" vertical="center" wrapText="1"/>
    </xf>
    <xf numFmtId="0" fontId="7" fillId="3" borderId="0" xfId="0" applyFont="1" applyFill="1" applyAlignment="1">
      <alignment horizontal="left" vertical="center" wrapText="1"/>
    </xf>
    <xf numFmtId="0" fontId="10" fillId="0" borderId="0" xfId="0" applyFont="1"/>
    <xf numFmtId="0" fontId="0" fillId="4" borderId="1" xfId="0" applyFill="1" applyBorder="1"/>
    <xf numFmtId="0" fontId="13" fillId="6" borderId="2" xfId="0" applyFont="1" applyFill="1" applyBorder="1" applyAlignment="1">
      <alignment horizontal="left" vertical="center" wrapText="1"/>
    </xf>
    <xf numFmtId="0" fontId="14" fillId="6" borderId="2" xfId="0" applyFont="1" applyFill="1" applyBorder="1" applyAlignment="1">
      <alignment horizontal="center" vertical="center"/>
    </xf>
    <xf numFmtId="0" fontId="16" fillId="7" borderId="4" xfId="0" applyFont="1" applyFill="1" applyBorder="1" applyAlignment="1">
      <alignment horizontal="left" vertical="center" wrapText="1"/>
    </xf>
    <xf numFmtId="0" fontId="16" fillId="8" borderId="4" xfId="0" applyFont="1" applyFill="1" applyBorder="1" applyAlignment="1">
      <alignment horizontal="left" vertical="center" wrapText="1"/>
    </xf>
    <xf numFmtId="0" fontId="16" fillId="9" borderId="4" xfId="0" applyFont="1" applyFill="1" applyBorder="1" applyAlignment="1">
      <alignment horizontal="left" vertical="center" wrapText="1"/>
    </xf>
    <xf numFmtId="0" fontId="16" fillId="10" borderId="4"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20" fillId="17" borderId="4" xfId="0" applyFont="1" applyFill="1" applyBorder="1" applyAlignment="1">
      <alignment horizontal="center" vertical="center" wrapText="1"/>
    </xf>
    <xf numFmtId="0" fontId="20" fillId="17" borderId="4" xfId="0" applyFont="1" applyFill="1" applyBorder="1" applyAlignment="1">
      <alignment horizontal="left" vertical="center" wrapText="1"/>
    </xf>
    <xf numFmtId="0" fontId="21" fillId="17" borderId="4" xfId="0" applyFont="1" applyFill="1" applyBorder="1" applyAlignment="1">
      <alignment horizontal="left" vertical="center" wrapText="1"/>
    </xf>
    <xf numFmtId="164" fontId="20" fillId="17" borderId="4" xfId="0" applyNumberFormat="1" applyFont="1" applyFill="1" applyBorder="1" applyAlignment="1">
      <alignment horizontal="center" vertical="center" wrapText="1"/>
    </xf>
    <xf numFmtId="164" fontId="14" fillId="17" borderId="4" xfId="0" applyNumberFormat="1" applyFont="1" applyFill="1" applyBorder="1" applyAlignment="1">
      <alignment horizontal="center" vertical="center" wrapText="1"/>
    </xf>
    <xf numFmtId="0" fontId="22" fillId="17" borderId="4" xfId="0" applyFont="1" applyFill="1" applyBorder="1" applyAlignment="1">
      <alignment horizontal="center" vertical="center"/>
    </xf>
    <xf numFmtId="0" fontId="20" fillId="18" borderId="4" xfId="0" applyFont="1" applyFill="1" applyBorder="1" applyAlignment="1">
      <alignment horizontal="center" vertical="center" wrapText="1"/>
    </xf>
    <xf numFmtId="0" fontId="20" fillId="18" borderId="4" xfId="0" applyFont="1" applyFill="1" applyBorder="1" applyAlignment="1">
      <alignment horizontal="left" vertical="center" wrapText="1"/>
    </xf>
    <xf numFmtId="0" fontId="21" fillId="18" borderId="4" xfId="0" applyFont="1" applyFill="1" applyBorder="1" applyAlignment="1">
      <alignment horizontal="left" vertical="center" wrapText="1"/>
    </xf>
    <xf numFmtId="164" fontId="20" fillId="18" borderId="4" xfId="0" applyNumberFormat="1" applyFont="1" applyFill="1" applyBorder="1" applyAlignment="1">
      <alignment horizontal="center" vertical="center" wrapText="1"/>
    </xf>
    <xf numFmtId="164" fontId="14" fillId="18" borderId="4" xfId="0" applyNumberFormat="1" applyFont="1" applyFill="1" applyBorder="1" applyAlignment="1">
      <alignment horizontal="center" vertical="center" wrapText="1"/>
    </xf>
    <xf numFmtId="0" fontId="22" fillId="18" borderId="4" xfId="0" applyFont="1" applyFill="1" applyBorder="1" applyAlignment="1">
      <alignment horizontal="center" vertical="center"/>
    </xf>
    <xf numFmtId="0" fontId="19" fillId="5" borderId="1" xfId="0" applyFont="1" applyFill="1" applyBorder="1" applyAlignment="1">
      <alignment horizontal="center" vertical="center" wrapText="1"/>
    </xf>
    <xf numFmtId="0" fontId="20" fillId="17" borderId="4" xfId="0" applyFont="1" applyFill="1" applyBorder="1" applyAlignment="1">
      <alignment horizontal="left" vertical="center"/>
    </xf>
    <xf numFmtId="164" fontId="22" fillId="17" borderId="4" xfId="0" applyNumberFormat="1" applyFont="1" applyFill="1" applyBorder="1" applyAlignment="1">
      <alignment horizontal="center" vertical="center" wrapText="1"/>
    </xf>
    <xf numFmtId="0" fontId="22" fillId="17" borderId="4" xfId="0" applyFont="1" applyFill="1" applyBorder="1" applyAlignment="1">
      <alignment horizontal="center" vertical="center" wrapText="1"/>
    </xf>
    <xf numFmtId="0" fontId="20" fillId="18" borderId="4" xfId="0" applyFont="1" applyFill="1" applyBorder="1" applyAlignment="1">
      <alignment horizontal="left" vertical="center"/>
    </xf>
    <xf numFmtId="164" fontId="22" fillId="18" borderId="4" xfId="0" applyNumberFormat="1" applyFont="1" applyFill="1" applyBorder="1" applyAlignment="1">
      <alignment horizontal="center" vertical="center" wrapText="1"/>
    </xf>
    <xf numFmtId="0" fontId="22" fillId="18" borderId="4" xfId="0" applyFont="1" applyFill="1" applyBorder="1" applyAlignment="1">
      <alignment horizontal="center" vertical="center" wrapText="1"/>
    </xf>
    <xf numFmtId="0" fontId="12" fillId="2" borderId="1" xfId="0" applyFont="1" applyFill="1" applyBorder="1" applyAlignment="1">
      <alignment horizontal="center" vertical="center"/>
    </xf>
    <xf numFmtId="164" fontId="12" fillId="2" borderId="1" xfId="0" applyNumberFormat="1" applyFont="1" applyFill="1" applyBorder="1" applyAlignment="1">
      <alignment horizontal="center" vertical="center"/>
    </xf>
    <xf numFmtId="0" fontId="12" fillId="5" borderId="0" xfId="0" applyFont="1" applyFill="1" applyAlignment="1">
      <alignment horizontal="center" vertical="center"/>
    </xf>
    <xf numFmtId="0" fontId="15" fillId="7" borderId="3" xfId="0" applyFont="1" applyFill="1" applyBorder="1" applyAlignment="1">
      <alignment horizontal="center" vertical="center"/>
    </xf>
    <xf numFmtId="0" fontId="3" fillId="4" borderId="5" xfId="0" applyFont="1" applyFill="1" applyBorder="1" applyAlignment="1">
      <alignment horizontal="center" vertical="center"/>
    </xf>
    <xf numFmtId="0" fontId="15" fillId="8" borderId="3" xfId="0" applyFont="1" applyFill="1" applyBorder="1" applyAlignment="1">
      <alignment horizontal="center" vertical="center"/>
    </xf>
    <xf numFmtId="0" fontId="15" fillId="9" borderId="3" xfId="0" applyFont="1" applyFill="1" applyBorder="1" applyAlignment="1">
      <alignment horizontal="center" vertical="center"/>
    </xf>
    <xf numFmtId="0" fontId="15" fillId="10" borderId="3" xfId="0" applyFont="1" applyFill="1" applyBorder="1" applyAlignment="1">
      <alignment horizontal="center" vertical="center"/>
    </xf>
    <xf numFmtId="0" fontId="11" fillId="16" borderId="0" xfId="0" applyFont="1" applyFill="1" applyAlignment="1">
      <alignment horizontal="left" vertical="center"/>
    </xf>
    <xf numFmtId="0" fontId="11" fillId="15" borderId="0" xfId="0" applyFont="1" applyFill="1" applyAlignment="1">
      <alignment horizontal="left" vertical="center"/>
    </xf>
    <xf numFmtId="0" fontId="11" fillId="14" borderId="0" xfId="0" applyFont="1" applyFill="1" applyAlignment="1">
      <alignment horizontal="left" vertical="center"/>
    </xf>
    <xf numFmtId="0" fontId="11" fillId="13" borderId="0" xfId="0" applyFont="1" applyFill="1" applyAlignment="1">
      <alignment horizontal="left" vertical="center"/>
    </xf>
    <xf numFmtId="0" fontId="11" fillId="12" borderId="0" xfId="0" applyFont="1" applyFill="1" applyAlignment="1">
      <alignment horizontal="left" vertical="center"/>
    </xf>
    <xf numFmtId="0" fontId="11" fillId="5" borderId="0" xfId="0" applyFont="1" applyFill="1" applyAlignment="1">
      <alignment horizontal="left" vertical="center"/>
    </xf>
    <xf numFmtId="0" fontId="11" fillId="11" borderId="0" xfId="0" applyFont="1" applyFill="1" applyAlignment="1">
      <alignment horizontal="left" vertical="center"/>
    </xf>
    <xf numFmtId="0" fontId="8" fillId="2" borderId="0" xfId="0" applyFont="1" applyFill="1" applyAlignment="1">
      <alignment horizontal="center" vertical="center"/>
    </xf>
    <xf numFmtId="0" fontId="9" fillId="3" borderId="0" xfId="0" applyFont="1" applyFill="1" applyAlignment="1">
      <alignment horizontal="center" vertical="center"/>
    </xf>
    <xf numFmtId="0" fontId="11" fillId="2" borderId="0" xfId="0" applyFont="1" applyFill="1" applyAlignment="1">
      <alignment horizontal="left" vertical="center"/>
    </xf>
    <xf numFmtId="0" fontId="23" fillId="2" borderId="0" xfId="0" applyFont="1" applyFill="1" applyAlignment="1">
      <alignment horizontal="left" vertical="center"/>
    </xf>
    <xf numFmtId="0" fontId="12" fillId="12" borderId="0" xfId="0" applyFont="1" applyFill="1" applyAlignment="1">
      <alignment horizontal="left" vertical="center"/>
    </xf>
    <xf numFmtId="0" fontId="12" fillId="13" borderId="0" xfId="0" applyFont="1" applyFill="1" applyAlignment="1">
      <alignment horizontal="left" vertical="center"/>
    </xf>
    <xf numFmtId="0" fontId="12" fillId="14" borderId="0" xfId="0" applyFont="1" applyFill="1" applyAlignment="1">
      <alignment horizontal="left" vertical="center"/>
    </xf>
    <xf numFmtId="0" fontId="12" fillId="15" borderId="0" xfId="0" applyFont="1" applyFill="1" applyAlignment="1">
      <alignment horizontal="left" vertical="center"/>
    </xf>
    <xf numFmtId="0" fontId="12" fillId="16" borderId="0" xfId="0" applyFont="1" applyFill="1" applyAlignment="1">
      <alignment horizontal="left" vertical="center"/>
    </xf>
    <xf numFmtId="0" fontId="17" fillId="2" borderId="0" xfId="0" applyFont="1" applyFill="1" applyAlignment="1">
      <alignment horizontal="center" vertical="center"/>
    </xf>
    <xf numFmtId="0" fontId="18" fillId="3" borderId="0" xfId="0" applyFont="1" applyFill="1" applyAlignment="1">
      <alignment horizontal="center" vertical="center"/>
    </xf>
    <xf numFmtId="0" fontId="12" fillId="2" borderId="0" xfId="0" applyFont="1" applyFill="1" applyAlignment="1">
      <alignment horizontal="left" vertical="center"/>
    </xf>
    <xf numFmtId="0" fontId="12" fillId="11" borderId="0" xfId="0" applyFont="1" applyFill="1" applyAlignment="1">
      <alignment horizontal="left" vertical="center"/>
    </xf>
    <xf numFmtId="0" fontId="12" fillId="5"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F766E"/>
      <rgbColor rgb="FFCCCCCC"/>
      <rgbColor rgb="FF808080"/>
      <rgbColor rgb="FF9999FF"/>
      <rgbColor rgb="FF7B2D8B"/>
      <rgbColor rgb="FFFFFACD"/>
      <rgbColor rgb="FFDBEAFE"/>
      <rgbColor rgb="FF660066"/>
      <rgbColor rgb="FFFF8080"/>
      <rgbColor rgb="FF0066CC"/>
      <rgbColor rgb="FFDDDDDD"/>
      <rgbColor rgb="FF000080"/>
      <rgbColor rgb="FFFF00FF"/>
      <rgbColor rgb="FFFFFF00"/>
      <rgbColor rgb="FF00FFFF"/>
      <rgbColor rgb="FF800080"/>
      <rgbColor rgb="FF800000"/>
      <rgbColor rgb="FF0D9488"/>
      <rgbColor rgb="FF0000FF"/>
      <rgbColor rgb="FF00CCFF"/>
      <rgbColor rgb="FFEBF3FB"/>
      <rgbColor rgb="FFF0FFF0"/>
      <rgbColor rgb="FFFFF8F0"/>
      <rgbColor rgb="FFD6E4F0"/>
      <rgbColor rgb="FFF0F0FF"/>
      <rgbColor rgb="FFCC99FF"/>
      <rgbColor rgb="FFFFF0F8"/>
      <rgbColor rgb="FF2E75B6"/>
      <rgbColor rgb="FF33CCCC"/>
      <rgbColor rgb="FF99CC00"/>
      <rgbColor rgb="FFFFCC00"/>
      <rgbColor rgb="FFFF9900"/>
      <rgbColor rgb="FFFF6600"/>
      <rgbColor rgb="FF666666"/>
      <rgbColor rgb="FFAAAAAA"/>
      <rgbColor rgb="FF003366"/>
      <rgbColor rgb="FF339966"/>
      <rgbColor rgb="FF003300"/>
      <rgbColor rgb="FF1A1A1A"/>
      <rgbColor rgb="FF9C2A10"/>
      <rgbColor rgb="FFB45309"/>
      <rgbColor rgb="FF1F4E7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3"/>
  <sheetViews>
    <sheetView showGridLines="0" zoomScaleNormal="100" workbookViewId="0"/>
  </sheetViews>
  <sheetFormatPr defaultColWidth="8.6328125" defaultRowHeight="14.5" x14ac:dyDescent="0.35"/>
  <cols>
    <col min="1" max="1" width="2" customWidth="1"/>
    <col min="2" max="2" width="90" customWidth="1"/>
  </cols>
  <sheetData>
    <row r="1" spans="2:2" ht="49.5" customHeight="1" x14ac:dyDescent="0.35">
      <c r="B1" s="1" t="s">
        <v>0</v>
      </c>
    </row>
    <row r="2" spans="2:2" ht="13.5" customHeight="1" x14ac:dyDescent="0.35">
      <c r="B2" s="2"/>
    </row>
    <row r="3" spans="2:2" ht="24" customHeight="1" x14ac:dyDescent="0.35">
      <c r="B3" s="3" t="s">
        <v>1</v>
      </c>
    </row>
    <row r="4" spans="2:2" ht="13.5" customHeight="1" x14ac:dyDescent="0.35">
      <c r="B4" s="2"/>
    </row>
    <row r="5" spans="2:2" ht="15.75" customHeight="1" x14ac:dyDescent="0.35">
      <c r="B5" s="4" t="s">
        <v>2</v>
      </c>
    </row>
    <row r="6" spans="2:2" ht="15.75" customHeight="1" x14ac:dyDescent="0.35">
      <c r="B6" s="4" t="s">
        <v>3</v>
      </c>
    </row>
    <row r="7" spans="2:2" ht="15.75" customHeight="1" x14ac:dyDescent="0.35">
      <c r="B7" s="4" t="s">
        <v>4</v>
      </c>
    </row>
    <row r="8" spans="2:2" ht="13.5" customHeight="1" x14ac:dyDescent="0.35">
      <c r="B8" s="2"/>
    </row>
    <row r="9" spans="2:2" ht="18" customHeight="1" x14ac:dyDescent="0.35">
      <c r="B9" s="5" t="s">
        <v>5</v>
      </c>
    </row>
    <row r="10" spans="2:2" ht="13.5" customHeight="1" x14ac:dyDescent="0.35">
      <c r="B10" s="2"/>
    </row>
    <row r="11" spans="2:2" ht="13.5" customHeight="1" x14ac:dyDescent="0.35">
      <c r="B11" s="6" t="s">
        <v>6</v>
      </c>
    </row>
    <row r="12" spans="2:2" ht="13.5" customHeight="1" x14ac:dyDescent="0.35">
      <c r="B12" s="6" t="s">
        <v>7</v>
      </c>
    </row>
    <row r="13" spans="2:2" ht="13.5" customHeight="1" x14ac:dyDescent="0.35">
      <c r="B13" s="6" t="s">
        <v>8</v>
      </c>
    </row>
    <row r="14" spans="2:2" ht="13.5" customHeight="1" x14ac:dyDescent="0.35">
      <c r="B14" s="6" t="s">
        <v>9</v>
      </c>
    </row>
    <row r="15" spans="2:2" ht="13.5" customHeight="1" x14ac:dyDescent="0.35">
      <c r="B15" s="6" t="s">
        <v>10</v>
      </c>
    </row>
    <row r="16" spans="2:2" ht="13.5" customHeight="1" x14ac:dyDescent="0.35">
      <c r="B16" s="2"/>
    </row>
    <row r="17" spans="2:2" ht="18" customHeight="1" x14ac:dyDescent="0.35">
      <c r="B17" s="5" t="s">
        <v>11</v>
      </c>
    </row>
    <row r="18" spans="2:2" ht="13.5" customHeight="1" x14ac:dyDescent="0.35">
      <c r="B18" s="2"/>
    </row>
    <row r="19" spans="2:2" ht="13.5" customHeight="1" x14ac:dyDescent="0.35">
      <c r="B19" s="6" t="s">
        <v>12</v>
      </c>
    </row>
    <row r="20" spans="2:2" ht="13.5" customHeight="1" x14ac:dyDescent="0.35">
      <c r="B20" s="2"/>
    </row>
    <row r="21" spans="2:2" ht="13.5" customHeight="1" x14ac:dyDescent="0.35">
      <c r="B21" s="6" t="s">
        <v>13</v>
      </c>
    </row>
    <row r="22" spans="2:2" ht="13.5" customHeight="1" x14ac:dyDescent="0.35">
      <c r="B22" s="6" t="s">
        <v>14</v>
      </c>
    </row>
    <row r="23" spans="2:2" ht="13.5" customHeight="1" x14ac:dyDescent="0.35">
      <c r="B23" s="6" t="s">
        <v>15</v>
      </c>
    </row>
    <row r="24" spans="2:2" ht="13.5" customHeight="1" x14ac:dyDescent="0.35">
      <c r="B24" s="6" t="s">
        <v>16</v>
      </c>
    </row>
    <row r="25" spans="2:2" ht="13.5" customHeight="1" x14ac:dyDescent="0.35">
      <c r="B25" s="6" t="s">
        <v>17</v>
      </c>
    </row>
    <row r="26" spans="2:2" ht="13.5" customHeight="1" x14ac:dyDescent="0.35">
      <c r="B26" s="6" t="s">
        <v>18</v>
      </c>
    </row>
    <row r="27" spans="2:2" ht="13.5" customHeight="1" x14ac:dyDescent="0.35">
      <c r="B27" s="6" t="s">
        <v>19</v>
      </c>
    </row>
    <row r="28" spans="2:2" ht="13.5" customHeight="1" x14ac:dyDescent="0.35">
      <c r="B28" s="6" t="s">
        <v>20</v>
      </c>
    </row>
    <row r="29" spans="2:2" ht="13.5" customHeight="1" x14ac:dyDescent="0.35">
      <c r="B29" s="6" t="s">
        <v>21</v>
      </c>
    </row>
    <row r="30" spans="2:2" ht="13.5" customHeight="1" x14ac:dyDescent="0.35">
      <c r="B30" s="2"/>
    </row>
    <row r="31" spans="2:2" ht="18" customHeight="1" x14ac:dyDescent="0.35">
      <c r="B31" s="5" t="s">
        <v>22</v>
      </c>
    </row>
    <row r="32" spans="2:2" ht="13.5" customHeight="1" x14ac:dyDescent="0.35">
      <c r="B32" s="2"/>
    </row>
    <row r="33" spans="2:2" ht="13.5" customHeight="1" x14ac:dyDescent="0.35">
      <c r="B33" s="6" t="s">
        <v>23</v>
      </c>
    </row>
    <row r="34" spans="2:2" ht="13.5" customHeight="1" x14ac:dyDescent="0.35">
      <c r="B34" s="6" t="s">
        <v>24</v>
      </c>
    </row>
    <row r="35" spans="2:2" ht="13.5" customHeight="1" x14ac:dyDescent="0.35">
      <c r="B35" s="6" t="s">
        <v>25</v>
      </c>
    </row>
    <row r="36" spans="2:2" ht="13.5" customHeight="1" x14ac:dyDescent="0.35">
      <c r="B36" s="2"/>
    </row>
    <row r="37" spans="2:2" ht="13.5" customHeight="1" x14ac:dyDescent="0.35">
      <c r="B37" s="6" t="s">
        <v>26</v>
      </c>
    </row>
    <row r="38" spans="2:2" ht="13.5" customHeight="1" x14ac:dyDescent="0.35">
      <c r="B38" s="6" t="s">
        <v>27</v>
      </c>
    </row>
    <row r="39" spans="2:2" ht="13.5" customHeight="1" x14ac:dyDescent="0.35">
      <c r="B39" s="6" t="s">
        <v>28</v>
      </c>
    </row>
    <row r="40" spans="2:2" ht="13.5" customHeight="1" x14ac:dyDescent="0.35">
      <c r="B40" s="6" t="s">
        <v>29</v>
      </c>
    </row>
    <row r="41" spans="2:2" ht="13.5" customHeight="1" x14ac:dyDescent="0.35">
      <c r="B41" s="2"/>
    </row>
    <row r="42" spans="2:2" ht="15.75" customHeight="1" x14ac:dyDescent="0.35">
      <c r="B42" s="7" t="s">
        <v>30</v>
      </c>
    </row>
    <row r="43" spans="2:2" ht="15.75" customHeight="1" x14ac:dyDescent="0.35">
      <c r="B43" s="4" t="s">
        <v>31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39"/>
  <sheetViews>
    <sheetView showGridLines="0" zoomScaleNormal="100" workbookViewId="0">
      <pane ySplit="5" topLeftCell="A6" activePane="bottomLeft" state="frozen"/>
      <selection pane="bottomLeft" activeCell="A7" sqref="A7:XFD7"/>
    </sheetView>
  </sheetViews>
  <sheetFormatPr defaultColWidth="8.6328125" defaultRowHeight="14.5" x14ac:dyDescent="0.35"/>
  <cols>
    <col min="1" max="1" width="4" customWidth="1"/>
    <col min="2" max="2" width="17.6328125" customWidth="1"/>
    <col min="3" max="3" width="75" customWidth="1"/>
    <col min="4" max="4" width="16" customWidth="1"/>
  </cols>
  <sheetData>
    <row r="1" spans="1:4" ht="45" customHeight="1" x14ac:dyDescent="0.35">
      <c r="A1" s="51" t="s">
        <v>32</v>
      </c>
      <c r="B1" s="51"/>
      <c r="C1" s="51"/>
      <c r="D1" s="51"/>
    </row>
    <row r="2" spans="1:4" ht="18" customHeight="1" x14ac:dyDescent="0.35">
      <c r="A2" s="52" t="s">
        <v>33</v>
      </c>
      <c r="B2" s="52"/>
      <c r="C2" s="52"/>
      <c r="D2" s="52"/>
    </row>
    <row r="3" spans="1:4" ht="6" customHeight="1" x14ac:dyDescent="0.35"/>
    <row r="4" spans="1:4" ht="19.5" customHeight="1" x14ac:dyDescent="0.35">
      <c r="A4" s="8" t="s">
        <v>34</v>
      </c>
      <c r="B4" s="9"/>
      <c r="C4" s="8" t="s">
        <v>35</v>
      </c>
      <c r="D4" s="9"/>
    </row>
    <row r="5" spans="1:4" ht="6" customHeight="1" x14ac:dyDescent="0.35"/>
    <row r="6" spans="1:4" ht="6" customHeight="1" x14ac:dyDescent="0.35"/>
    <row r="7" spans="1:4" ht="24" customHeight="1" x14ac:dyDescent="0.35">
      <c r="A7" s="53" t="s">
        <v>36</v>
      </c>
      <c r="B7" s="53"/>
      <c r="C7" s="53"/>
      <c r="D7" s="53"/>
    </row>
    <row r="8" spans="1:4" ht="3.75" customHeight="1" x14ac:dyDescent="0.35"/>
    <row r="9" spans="1:4" ht="27.75" customHeight="1" x14ac:dyDescent="0.35">
      <c r="A9" s="38" t="s">
        <v>37</v>
      </c>
      <c r="B9" s="38"/>
      <c r="C9" s="10" t="s">
        <v>38</v>
      </c>
      <c r="D9" s="11" t="s">
        <v>39</v>
      </c>
    </row>
    <row r="10" spans="1:4" ht="27.75" customHeight="1" x14ac:dyDescent="0.35">
      <c r="A10" s="39" t="s">
        <v>40</v>
      </c>
      <c r="B10" s="39"/>
      <c r="C10" s="12" t="s">
        <v>41</v>
      </c>
      <c r="D10" s="40" t="s">
        <v>44</v>
      </c>
    </row>
    <row r="11" spans="1:4" ht="27.75" customHeight="1" x14ac:dyDescent="0.35">
      <c r="A11" s="41" t="s">
        <v>42</v>
      </c>
      <c r="B11" s="41"/>
      <c r="C11" s="13" t="s">
        <v>43</v>
      </c>
      <c r="D11" s="40"/>
    </row>
    <row r="12" spans="1:4" ht="27.75" customHeight="1" x14ac:dyDescent="0.35">
      <c r="A12" s="42" t="s">
        <v>44</v>
      </c>
      <c r="B12" s="42"/>
      <c r="C12" s="14" t="s">
        <v>45</v>
      </c>
      <c r="D12" s="40"/>
    </row>
    <row r="13" spans="1:4" ht="27.75" customHeight="1" x14ac:dyDescent="0.35">
      <c r="A13" s="43" t="s">
        <v>46</v>
      </c>
      <c r="B13" s="43"/>
      <c r="C13" s="15" t="s">
        <v>47</v>
      </c>
      <c r="D13" s="40"/>
    </row>
    <row r="14" spans="1:4" ht="4.5" customHeight="1" x14ac:dyDescent="0.35"/>
    <row r="15" spans="1:4" ht="27.75" customHeight="1" x14ac:dyDescent="0.35">
      <c r="A15" s="38" t="s">
        <v>48</v>
      </c>
      <c r="B15" s="38"/>
      <c r="C15" s="10" t="s">
        <v>49</v>
      </c>
      <c r="D15" s="11" t="s">
        <v>39</v>
      </c>
    </row>
    <row r="16" spans="1:4" ht="27.75" customHeight="1" x14ac:dyDescent="0.35">
      <c r="A16" s="39" t="s">
        <v>40</v>
      </c>
      <c r="B16" s="39"/>
      <c r="C16" s="12" t="s">
        <v>50</v>
      </c>
      <c r="D16" s="40" t="s">
        <v>42</v>
      </c>
    </row>
    <row r="17" spans="1:4" ht="27.75" customHeight="1" x14ac:dyDescent="0.35">
      <c r="A17" s="41" t="s">
        <v>42</v>
      </c>
      <c r="B17" s="41"/>
      <c r="C17" s="13" t="s">
        <v>51</v>
      </c>
      <c r="D17" s="40"/>
    </row>
    <row r="18" spans="1:4" ht="27.75" customHeight="1" x14ac:dyDescent="0.35">
      <c r="A18" s="42" t="s">
        <v>44</v>
      </c>
      <c r="B18" s="42"/>
      <c r="C18" s="14" t="s">
        <v>52</v>
      </c>
      <c r="D18" s="40"/>
    </row>
    <row r="19" spans="1:4" ht="27.75" customHeight="1" x14ac:dyDescent="0.35">
      <c r="A19" s="43" t="s">
        <v>46</v>
      </c>
      <c r="B19" s="43"/>
      <c r="C19" s="15" t="s">
        <v>53</v>
      </c>
      <c r="D19" s="40"/>
    </row>
    <row r="20" spans="1:4" ht="4.5" customHeight="1" x14ac:dyDescent="0.35"/>
    <row r="21" spans="1:4" ht="27.75" customHeight="1" x14ac:dyDescent="0.35">
      <c r="A21" s="38" t="s">
        <v>54</v>
      </c>
      <c r="B21" s="38"/>
      <c r="C21" s="10" t="s">
        <v>55</v>
      </c>
      <c r="D21" s="11" t="s">
        <v>39</v>
      </c>
    </row>
    <row r="22" spans="1:4" ht="27.75" customHeight="1" x14ac:dyDescent="0.35">
      <c r="A22" s="39" t="s">
        <v>40</v>
      </c>
      <c r="B22" s="39"/>
      <c r="C22" s="12" t="s">
        <v>56</v>
      </c>
      <c r="D22" s="40" t="s">
        <v>44</v>
      </c>
    </row>
    <row r="23" spans="1:4" ht="27.75" customHeight="1" x14ac:dyDescent="0.35">
      <c r="A23" s="41" t="s">
        <v>42</v>
      </c>
      <c r="B23" s="41"/>
      <c r="C23" s="13" t="s">
        <v>57</v>
      </c>
      <c r="D23" s="40"/>
    </row>
    <row r="24" spans="1:4" ht="27.75" customHeight="1" x14ac:dyDescent="0.35">
      <c r="A24" s="42" t="s">
        <v>44</v>
      </c>
      <c r="B24" s="42"/>
      <c r="C24" s="14" t="s">
        <v>58</v>
      </c>
      <c r="D24" s="40"/>
    </row>
    <row r="25" spans="1:4" ht="27.75" customHeight="1" x14ac:dyDescent="0.35">
      <c r="A25" s="43" t="s">
        <v>46</v>
      </c>
      <c r="B25" s="43"/>
      <c r="C25" s="15" t="s">
        <v>59</v>
      </c>
      <c r="D25" s="40"/>
    </row>
    <row r="26" spans="1:4" ht="4.5" customHeight="1" x14ac:dyDescent="0.35"/>
    <row r="27" spans="1:4" ht="27.75" customHeight="1" x14ac:dyDescent="0.35">
      <c r="A27" s="38" t="s">
        <v>60</v>
      </c>
      <c r="B27" s="38"/>
      <c r="C27" s="10" t="s">
        <v>61</v>
      </c>
      <c r="D27" s="11" t="s">
        <v>39</v>
      </c>
    </row>
    <row r="28" spans="1:4" ht="27.75" customHeight="1" x14ac:dyDescent="0.35">
      <c r="A28" s="39" t="s">
        <v>40</v>
      </c>
      <c r="B28" s="39"/>
      <c r="C28" s="12" t="s">
        <v>62</v>
      </c>
      <c r="D28" s="40" t="s">
        <v>46</v>
      </c>
    </row>
    <row r="29" spans="1:4" ht="27.75" customHeight="1" x14ac:dyDescent="0.35">
      <c r="A29" s="41" t="s">
        <v>42</v>
      </c>
      <c r="B29" s="41"/>
      <c r="C29" s="13" t="s">
        <v>63</v>
      </c>
      <c r="D29" s="40"/>
    </row>
    <row r="30" spans="1:4" ht="27.75" customHeight="1" x14ac:dyDescent="0.35">
      <c r="A30" s="42" t="s">
        <v>44</v>
      </c>
      <c r="B30" s="42"/>
      <c r="C30" s="14" t="s">
        <v>64</v>
      </c>
      <c r="D30" s="40"/>
    </row>
    <row r="31" spans="1:4" ht="27.75" customHeight="1" x14ac:dyDescent="0.35">
      <c r="A31" s="43" t="s">
        <v>46</v>
      </c>
      <c r="B31" s="43"/>
      <c r="C31" s="15" t="s">
        <v>65</v>
      </c>
      <c r="D31" s="40"/>
    </row>
    <row r="32" spans="1:4" ht="4.5" customHeight="1" x14ac:dyDescent="0.35"/>
    <row r="33" spans="1:4" ht="27.75" customHeight="1" x14ac:dyDescent="0.35">
      <c r="A33" s="38" t="s">
        <v>66</v>
      </c>
      <c r="B33" s="38"/>
      <c r="C33" s="10" t="s">
        <v>67</v>
      </c>
      <c r="D33" s="11" t="s">
        <v>39</v>
      </c>
    </row>
    <row r="34" spans="1:4" ht="27.75" customHeight="1" x14ac:dyDescent="0.35">
      <c r="A34" s="39" t="s">
        <v>40</v>
      </c>
      <c r="B34" s="39"/>
      <c r="C34" s="12" t="s">
        <v>68</v>
      </c>
      <c r="D34" s="40" t="s">
        <v>42</v>
      </c>
    </row>
    <row r="35" spans="1:4" ht="27.75" customHeight="1" x14ac:dyDescent="0.35">
      <c r="A35" s="41" t="s">
        <v>42</v>
      </c>
      <c r="B35" s="41"/>
      <c r="C35" s="13" t="s">
        <v>69</v>
      </c>
      <c r="D35" s="40"/>
    </row>
    <row r="36" spans="1:4" ht="27.75" customHeight="1" x14ac:dyDescent="0.35">
      <c r="A36" s="42" t="s">
        <v>44</v>
      </c>
      <c r="B36" s="42"/>
      <c r="C36" s="14" t="s">
        <v>70</v>
      </c>
      <c r="D36" s="40"/>
    </row>
    <row r="37" spans="1:4" ht="27.75" customHeight="1" x14ac:dyDescent="0.35">
      <c r="A37" s="43" t="s">
        <v>46</v>
      </c>
      <c r="B37" s="43"/>
      <c r="C37" s="15" t="s">
        <v>71</v>
      </c>
      <c r="D37" s="40"/>
    </row>
    <row r="38" spans="1:4" ht="4.5" customHeight="1" x14ac:dyDescent="0.35"/>
    <row r="39" spans="1:4" ht="27.75" customHeight="1" x14ac:dyDescent="0.35">
      <c r="A39" s="38" t="s">
        <v>72</v>
      </c>
      <c r="B39" s="38"/>
      <c r="C39" s="10" t="s">
        <v>73</v>
      </c>
      <c r="D39" s="11" t="s">
        <v>39</v>
      </c>
    </row>
    <row r="40" spans="1:4" ht="27.75" customHeight="1" x14ac:dyDescent="0.35">
      <c r="A40" s="39" t="s">
        <v>40</v>
      </c>
      <c r="B40" s="39"/>
      <c r="C40" s="12" t="s">
        <v>74</v>
      </c>
      <c r="D40" s="40" t="s">
        <v>46</v>
      </c>
    </row>
    <row r="41" spans="1:4" ht="27.75" customHeight="1" x14ac:dyDescent="0.35">
      <c r="A41" s="41" t="s">
        <v>42</v>
      </c>
      <c r="B41" s="41"/>
      <c r="C41" s="13" t="s">
        <v>75</v>
      </c>
      <c r="D41" s="40"/>
    </row>
    <row r="42" spans="1:4" ht="27.75" customHeight="1" x14ac:dyDescent="0.35">
      <c r="A42" s="42" t="s">
        <v>44</v>
      </c>
      <c r="B42" s="42"/>
      <c r="C42" s="14" t="s">
        <v>76</v>
      </c>
      <c r="D42" s="40"/>
    </row>
    <row r="43" spans="1:4" ht="27.75" customHeight="1" x14ac:dyDescent="0.35">
      <c r="A43" s="43" t="s">
        <v>46</v>
      </c>
      <c r="B43" s="43"/>
      <c r="C43" s="15" t="s">
        <v>77</v>
      </c>
      <c r="D43" s="40"/>
    </row>
    <row r="44" spans="1:4" ht="4.5" customHeight="1" x14ac:dyDescent="0.35"/>
    <row r="45" spans="1:4" ht="27.75" customHeight="1" x14ac:dyDescent="0.35">
      <c r="A45" s="38" t="s">
        <v>78</v>
      </c>
      <c r="B45" s="38"/>
      <c r="C45" s="10" t="s">
        <v>79</v>
      </c>
      <c r="D45" s="11" t="s">
        <v>39</v>
      </c>
    </row>
    <row r="46" spans="1:4" ht="27.75" customHeight="1" x14ac:dyDescent="0.35">
      <c r="A46" s="39" t="s">
        <v>40</v>
      </c>
      <c r="B46" s="39"/>
      <c r="C46" s="12" t="s">
        <v>80</v>
      </c>
      <c r="D46" s="40" t="s">
        <v>40</v>
      </c>
    </row>
    <row r="47" spans="1:4" ht="27.75" customHeight="1" x14ac:dyDescent="0.35">
      <c r="A47" s="41" t="s">
        <v>42</v>
      </c>
      <c r="B47" s="41"/>
      <c r="C47" s="13" t="s">
        <v>81</v>
      </c>
      <c r="D47" s="40"/>
    </row>
    <row r="48" spans="1:4" ht="27.75" customHeight="1" x14ac:dyDescent="0.35">
      <c r="A48" s="42" t="s">
        <v>44</v>
      </c>
      <c r="B48" s="42"/>
      <c r="C48" s="14" t="s">
        <v>82</v>
      </c>
      <c r="D48" s="40"/>
    </row>
    <row r="49" spans="1:4" ht="27.75" customHeight="1" x14ac:dyDescent="0.35">
      <c r="A49" s="43" t="s">
        <v>46</v>
      </c>
      <c r="B49" s="43"/>
      <c r="C49" s="15" t="s">
        <v>83</v>
      </c>
      <c r="D49" s="40"/>
    </row>
    <row r="50" spans="1:4" ht="4.5" customHeight="1" x14ac:dyDescent="0.35"/>
    <row r="51" spans="1:4" ht="27.75" customHeight="1" x14ac:dyDescent="0.35">
      <c r="A51" s="38" t="s">
        <v>84</v>
      </c>
      <c r="B51" s="38"/>
      <c r="C51" s="10" t="s">
        <v>85</v>
      </c>
      <c r="D51" s="11" t="s">
        <v>39</v>
      </c>
    </row>
    <row r="52" spans="1:4" ht="27.75" customHeight="1" x14ac:dyDescent="0.35">
      <c r="A52" s="39" t="s">
        <v>40</v>
      </c>
      <c r="B52" s="39"/>
      <c r="C52" s="12" t="s">
        <v>86</v>
      </c>
      <c r="D52" s="40" t="s">
        <v>42</v>
      </c>
    </row>
    <row r="53" spans="1:4" ht="27.75" customHeight="1" x14ac:dyDescent="0.35">
      <c r="A53" s="41" t="s">
        <v>42</v>
      </c>
      <c r="B53" s="41"/>
      <c r="C53" s="13" t="s">
        <v>87</v>
      </c>
      <c r="D53" s="40"/>
    </row>
    <row r="54" spans="1:4" ht="27.75" customHeight="1" x14ac:dyDescent="0.35">
      <c r="A54" s="42" t="s">
        <v>44</v>
      </c>
      <c r="B54" s="42"/>
      <c r="C54" s="14" t="s">
        <v>88</v>
      </c>
      <c r="D54" s="40"/>
    </row>
    <row r="55" spans="1:4" ht="27.75" customHeight="1" x14ac:dyDescent="0.35">
      <c r="A55" s="43" t="s">
        <v>46</v>
      </c>
      <c r="B55" s="43"/>
      <c r="C55" s="15" t="s">
        <v>89</v>
      </c>
      <c r="D55" s="40"/>
    </row>
    <row r="56" spans="1:4" ht="4.5" customHeight="1" x14ac:dyDescent="0.35"/>
    <row r="57" spans="1:4" ht="27.75" customHeight="1" x14ac:dyDescent="0.35">
      <c r="A57" s="38" t="s">
        <v>90</v>
      </c>
      <c r="B57" s="38"/>
      <c r="C57" s="10" t="s">
        <v>91</v>
      </c>
      <c r="D57" s="11" t="s">
        <v>39</v>
      </c>
    </row>
    <row r="58" spans="1:4" ht="27.75" customHeight="1" x14ac:dyDescent="0.35">
      <c r="A58" s="39" t="s">
        <v>40</v>
      </c>
      <c r="B58" s="39"/>
      <c r="C58" s="12" t="s">
        <v>92</v>
      </c>
      <c r="D58" s="40" t="s">
        <v>42</v>
      </c>
    </row>
    <row r="59" spans="1:4" ht="27.75" customHeight="1" x14ac:dyDescent="0.35">
      <c r="A59" s="41" t="s">
        <v>42</v>
      </c>
      <c r="B59" s="41"/>
      <c r="C59" s="13" t="s">
        <v>93</v>
      </c>
      <c r="D59" s="40"/>
    </row>
    <row r="60" spans="1:4" ht="27.75" customHeight="1" x14ac:dyDescent="0.35">
      <c r="A60" s="42" t="s">
        <v>44</v>
      </c>
      <c r="B60" s="42"/>
      <c r="C60" s="14" t="s">
        <v>94</v>
      </c>
      <c r="D60" s="40"/>
    </row>
    <row r="61" spans="1:4" ht="27.75" customHeight="1" x14ac:dyDescent="0.35">
      <c r="A61" s="43" t="s">
        <v>46</v>
      </c>
      <c r="B61" s="43"/>
      <c r="C61" s="15" t="s">
        <v>95</v>
      </c>
      <c r="D61" s="40"/>
    </row>
    <row r="62" spans="1:4" ht="4.5" customHeight="1" x14ac:dyDescent="0.35"/>
    <row r="63" spans="1:4" ht="27.75" customHeight="1" x14ac:dyDescent="0.35">
      <c r="A63" s="38" t="s">
        <v>96</v>
      </c>
      <c r="B63" s="38"/>
      <c r="C63" s="10" t="s">
        <v>97</v>
      </c>
      <c r="D63" s="11" t="s">
        <v>39</v>
      </c>
    </row>
    <row r="64" spans="1:4" ht="27.75" customHeight="1" x14ac:dyDescent="0.35">
      <c r="A64" s="39" t="s">
        <v>40</v>
      </c>
      <c r="B64" s="39"/>
      <c r="C64" s="12" t="s">
        <v>98</v>
      </c>
      <c r="D64" s="40" t="s">
        <v>40</v>
      </c>
    </row>
    <row r="65" spans="1:4" ht="27.75" customHeight="1" x14ac:dyDescent="0.35">
      <c r="A65" s="41" t="s">
        <v>42</v>
      </c>
      <c r="B65" s="41"/>
      <c r="C65" s="13" t="s">
        <v>99</v>
      </c>
      <c r="D65" s="40"/>
    </row>
    <row r="66" spans="1:4" ht="27.75" customHeight="1" x14ac:dyDescent="0.35">
      <c r="A66" s="42" t="s">
        <v>44</v>
      </c>
      <c r="B66" s="42"/>
      <c r="C66" s="14" t="s">
        <v>100</v>
      </c>
      <c r="D66" s="40"/>
    </row>
    <row r="67" spans="1:4" ht="27.75" customHeight="1" x14ac:dyDescent="0.35">
      <c r="A67" s="43" t="s">
        <v>46</v>
      </c>
      <c r="B67" s="43"/>
      <c r="C67" s="15" t="s">
        <v>101</v>
      </c>
      <c r="D67" s="40"/>
    </row>
    <row r="68" spans="1:4" ht="4.5" customHeight="1" x14ac:dyDescent="0.35"/>
    <row r="69" spans="1:4" ht="27.75" customHeight="1" x14ac:dyDescent="0.35">
      <c r="A69" s="38" t="s">
        <v>102</v>
      </c>
      <c r="B69" s="38"/>
      <c r="C69" s="10" t="s">
        <v>103</v>
      </c>
      <c r="D69" s="11" t="s">
        <v>39</v>
      </c>
    </row>
    <row r="70" spans="1:4" ht="27.75" customHeight="1" x14ac:dyDescent="0.35">
      <c r="A70" s="39" t="s">
        <v>40</v>
      </c>
      <c r="B70" s="39"/>
      <c r="C70" s="12" t="s">
        <v>104</v>
      </c>
      <c r="D70" s="40" t="s">
        <v>46</v>
      </c>
    </row>
    <row r="71" spans="1:4" ht="27.75" customHeight="1" x14ac:dyDescent="0.35">
      <c r="A71" s="41" t="s">
        <v>42</v>
      </c>
      <c r="B71" s="41"/>
      <c r="C71" s="13" t="s">
        <v>105</v>
      </c>
      <c r="D71" s="40"/>
    </row>
    <row r="72" spans="1:4" ht="27.75" customHeight="1" x14ac:dyDescent="0.35">
      <c r="A72" s="42" t="s">
        <v>44</v>
      </c>
      <c r="B72" s="42"/>
      <c r="C72" s="14" t="s">
        <v>106</v>
      </c>
      <c r="D72" s="40"/>
    </row>
    <row r="73" spans="1:4" ht="27.75" customHeight="1" x14ac:dyDescent="0.35">
      <c r="A73" s="43" t="s">
        <v>46</v>
      </c>
      <c r="B73" s="43"/>
      <c r="C73" s="15" t="s">
        <v>107</v>
      </c>
      <c r="D73" s="40"/>
    </row>
    <row r="74" spans="1:4" ht="4.5" customHeight="1" x14ac:dyDescent="0.35"/>
    <row r="75" spans="1:4" ht="27.75" customHeight="1" x14ac:dyDescent="0.35">
      <c r="A75" s="38" t="s">
        <v>108</v>
      </c>
      <c r="B75" s="38"/>
      <c r="C75" s="10" t="s">
        <v>109</v>
      </c>
      <c r="D75" s="11" t="s">
        <v>39</v>
      </c>
    </row>
    <row r="76" spans="1:4" ht="27.75" customHeight="1" x14ac:dyDescent="0.35">
      <c r="A76" s="39" t="s">
        <v>40</v>
      </c>
      <c r="B76" s="39"/>
      <c r="C76" s="12" t="s">
        <v>110</v>
      </c>
      <c r="D76" s="40" t="s">
        <v>40</v>
      </c>
    </row>
    <row r="77" spans="1:4" ht="27.75" customHeight="1" x14ac:dyDescent="0.35">
      <c r="A77" s="41" t="s">
        <v>42</v>
      </c>
      <c r="B77" s="41"/>
      <c r="C77" s="13" t="s">
        <v>111</v>
      </c>
      <c r="D77" s="40"/>
    </row>
    <row r="78" spans="1:4" ht="27.75" customHeight="1" x14ac:dyDescent="0.35">
      <c r="A78" s="42" t="s">
        <v>44</v>
      </c>
      <c r="B78" s="42"/>
      <c r="C78" s="14" t="s">
        <v>112</v>
      </c>
      <c r="D78" s="40"/>
    </row>
    <row r="79" spans="1:4" ht="27.75" customHeight="1" x14ac:dyDescent="0.35">
      <c r="A79" s="43" t="s">
        <v>46</v>
      </c>
      <c r="B79" s="43"/>
      <c r="C79" s="15" t="s">
        <v>113</v>
      </c>
      <c r="D79" s="40"/>
    </row>
    <row r="80" spans="1:4" ht="4.5" customHeight="1" x14ac:dyDescent="0.35"/>
    <row r="81" spans="1:4" ht="27.75" customHeight="1" x14ac:dyDescent="0.35">
      <c r="A81" s="38" t="s">
        <v>114</v>
      </c>
      <c r="B81" s="38"/>
      <c r="C81" s="10" t="s">
        <v>115</v>
      </c>
      <c r="D81" s="11" t="s">
        <v>39</v>
      </c>
    </row>
    <row r="82" spans="1:4" ht="27.75" customHeight="1" x14ac:dyDescent="0.35">
      <c r="A82" s="39" t="s">
        <v>40</v>
      </c>
      <c r="B82" s="39"/>
      <c r="C82" s="12" t="s">
        <v>116</v>
      </c>
      <c r="D82" s="40" t="s">
        <v>44</v>
      </c>
    </row>
    <row r="83" spans="1:4" ht="27.75" customHeight="1" x14ac:dyDescent="0.35">
      <c r="A83" s="41" t="s">
        <v>42</v>
      </c>
      <c r="B83" s="41"/>
      <c r="C83" s="13" t="s">
        <v>117</v>
      </c>
      <c r="D83" s="40"/>
    </row>
    <row r="84" spans="1:4" ht="27.75" customHeight="1" x14ac:dyDescent="0.35">
      <c r="A84" s="42" t="s">
        <v>44</v>
      </c>
      <c r="B84" s="42"/>
      <c r="C84" s="14" t="s">
        <v>118</v>
      </c>
      <c r="D84" s="40"/>
    </row>
    <row r="85" spans="1:4" ht="27.75" customHeight="1" x14ac:dyDescent="0.35">
      <c r="A85" s="43" t="s">
        <v>46</v>
      </c>
      <c r="B85" s="43"/>
      <c r="C85" s="15" t="s">
        <v>119</v>
      </c>
      <c r="D85" s="40"/>
    </row>
    <row r="86" spans="1:4" ht="4.5" customHeight="1" x14ac:dyDescent="0.35"/>
    <row r="87" spans="1:4" ht="27.75" customHeight="1" x14ac:dyDescent="0.35">
      <c r="A87" s="38" t="s">
        <v>120</v>
      </c>
      <c r="B87" s="38"/>
      <c r="C87" s="10" t="s">
        <v>121</v>
      </c>
      <c r="D87" s="11" t="s">
        <v>39</v>
      </c>
    </row>
    <row r="88" spans="1:4" ht="27.75" customHeight="1" x14ac:dyDescent="0.35">
      <c r="A88" s="39" t="s">
        <v>40</v>
      </c>
      <c r="B88" s="39"/>
      <c r="C88" s="12" t="s">
        <v>122</v>
      </c>
      <c r="D88" s="40" t="s">
        <v>44</v>
      </c>
    </row>
    <row r="89" spans="1:4" ht="27.75" customHeight="1" x14ac:dyDescent="0.35">
      <c r="A89" s="41" t="s">
        <v>42</v>
      </c>
      <c r="B89" s="41"/>
      <c r="C89" s="13" t="s">
        <v>123</v>
      </c>
      <c r="D89" s="40"/>
    </row>
    <row r="90" spans="1:4" ht="27.75" customHeight="1" x14ac:dyDescent="0.35">
      <c r="A90" s="42" t="s">
        <v>44</v>
      </c>
      <c r="B90" s="42"/>
      <c r="C90" s="14" t="s">
        <v>124</v>
      </c>
      <c r="D90" s="40"/>
    </row>
    <row r="91" spans="1:4" ht="27.75" customHeight="1" x14ac:dyDescent="0.35">
      <c r="A91" s="43" t="s">
        <v>46</v>
      </c>
      <c r="B91" s="43"/>
      <c r="C91" s="15" t="s">
        <v>125</v>
      </c>
      <c r="D91" s="40"/>
    </row>
    <row r="92" spans="1:4" ht="4.5" customHeight="1" x14ac:dyDescent="0.35"/>
    <row r="93" spans="1:4" ht="27.75" customHeight="1" x14ac:dyDescent="0.35">
      <c r="A93" s="38" t="s">
        <v>126</v>
      </c>
      <c r="B93" s="38"/>
      <c r="C93" s="10" t="s">
        <v>127</v>
      </c>
      <c r="D93" s="11" t="s">
        <v>39</v>
      </c>
    </row>
    <row r="94" spans="1:4" ht="27.75" customHeight="1" x14ac:dyDescent="0.35">
      <c r="A94" s="39" t="s">
        <v>40</v>
      </c>
      <c r="B94" s="39"/>
      <c r="C94" s="12" t="s">
        <v>128</v>
      </c>
      <c r="D94" s="40" t="s">
        <v>46</v>
      </c>
    </row>
    <row r="95" spans="1:4" ht="27.75" customHeight="1" x14ac:dyDescent="0.35">
      <c r="A95" s="41" t="s">
        <v>42</v>
      </c>
      <c r="B95" s="41"/>
      <c r="C95" s="13" t="s">
        <v>129</v>
      </c>
      <c r="D95" s="40"/>
    </row>
    <row r="96" spans="1:4" ht="27.75" customHeight="1" x14ac:dyDescent="0.35">
      <c r="A96" s="42" t="s">
        <v>44</v>
      </c>
      <c r="B96" s="42"/>
      <c r="C96" s="14" t="s">
        <v>130</v>
      </c>
      <c r="D96" s="40"/>
    </row>
    <row r="97" spans="1:4" ht="27.75" customHeight="1" x14ac:dyDescent="0.35">
      <c r="A97" s="43" t="s">
        <v>46</v>
      </c>
      <c r="B97" s="43"/>
      <c r="C97" s="15" t="s">
        <v>131</v>
      </c>
      <c r="D97" s="40"/>
    </row>
    <row r="98" spans="1:4" ht="4.5" customHeight="1" x14ac:dyDescent="0.35"/>
    <row r="99" spans="1:4" ht="6" customHeight="1" x14ac:dyDescent="0.35"/>
    <row r="100" spans="1:4" ht="24" customHeight="1" x14ac:dyDescent="0.35">
      <c r="A100" s="50" t="s">
        <v>132</v>
      </c>
      <c r="B100" s="50"/>
      <c r="C100" s="50"/>
      <c r="D100" s="50"/>
    </row>
    <row r="101" spans="1:4" ht="3.75" customHeight="1" x14ac:dyDescent="0.35"/>
    <row r="102" spans="1:4" ht="27.75" customHeight="1" x14ac:dyDescent="0.35">
      <c r="A102" s="38" t="s">
        <v>133</v>
      </c>
      <c r="B102" s="38"/>
      <c r="C102" s="10" t="s">
        <v>134</v>
      </c>
      <c r="D102" s="11" t="s">
        <v>39</v>
      </c>
    </row>
    <row r="103" spans="1:4" ht="27.75" customHeight="1" x14ac:dyDescent="0.35">
      <c r="A103" s="39" t="s">
        <v>40</v>
      </c>
      <c r="B103" s="39"/>
      <c r="C103" s="12" t="s">
        <v>135</v>
      </c>
      <c r="D103" s="40"/>
    </row>
    <row r="104" spans="1:4" ht="27.75" customHeight="1" x14ac:dyDescent="0.35">
      <c r="A104" s="41" t="s">
        <v>42</v>
      </c>
      <c r="B104" s="41"/>
      <c r="C104" s="13" t="s">
        <v>136</v>
      </c>
      <c r="D104" s="40"/>
    </row>
    <row r="105" spans="1:4" ht="27.75" customHeight="1" x14ac:dyDescent="0.35">
      <c r="A105" s="42" t="s">
        <v>44</v>
      </c>
      <c r="B105" s="42"/>
      <c r="C105" s="14" t="s">
        <v>137</v>
      </c>
      <c r="D105" s="40"/>
    </row>
    <row r="106" spans="1:4" ht="27.75" customHeight="1" x14ac:dyDescent="0.35">
      <c r="A106" s="43" t="s">
        <v>46</v>
      </c>
      <c r="B106" s="43"/>
      <c r="C106" s="15" t="s">
        <v>138</v>
      </c>
      <c r="D106" s="40"/>
    </row>
    <row r="107" spans="1:4" ht="4.5" customHeight="1" x14ac:dyDescent="0.35"/>
    <row r="108" spans="1:4" ht="27.75" customHeight="1" x14ac:dyDescent="0.35">
      <c r="A108" s="38" t="s">
        <v>139</v>
      </c>
      <c r="B108" s="38"/>
      <c r="C108" s="10" t="s">
        <v>140</v>
      </c>
      <c r="D108" s="11" t="s">
        <v>39</v>
      </c>
    </row>
    <row r="109" spans="1:4" ht="27.75" customHeight="1" x14ac:dyDescent="0.35">
      <c r="A109" s="39" t="s">
        <v>40</v>
      </c>
      <c r="B109" s="39"/>
      <c r="C109" s="12" t="s">
        <v>141</v>
      </c>
      <c r="D109" s="40"/>
    </row>
    <row r="110" spans="1:4" ht="27.75" customHeight="1" x14ac:dyDescent="0.35">
      <c r="A110" s="41" t="s">
        <v>42</v>
      </c>
      <c r="B110" s="41"/>
      <c r="C110" s="13" t="s">
        <v>142</v>
      </c>
      <c r="D110" s="40"/>
    </row>
    <row r="111" spans="1:4" ht="27.75" customHeight="1" x14ac:dyDescent="0.35">
      <c r="A111" s="42" t="s">
        <v>44</v>
      </c>
      <c r="B111" s="42"/>
      <c r="C111" s="14" t="s">
        <v>143</v>
      </c>
      <c r="D111" s="40"/>
    </row>
    <row r="112" spans="1:4" ht="27.75" customHeight="1" x14ac:dyDescent="0.35">
      <c r="A112" s="43" t="s">
        <v>46</v>
      </c>
      <c r="B112" s="43"/>
      <c r="C112" s="15" t="s">
        <v>144</v>
      </c>
      <c r="D112" s="40"/>
    </row>
    <row r="113" spans="1:4" ht="4.5" customHeight="1" x14ac:dyDescent="0.35"/>
    <row r="114" spans="1:4" ht="27.75" customHeight="1" x14ac:dyDescent="0.35">
      <c r="A114" s="38" t="s">
        <v>145</v>
      </c>
      <c r="B114" s="38"/>
      <c r="C114" s="10" t="s">
        <v>146</v>
      </c>
      <c r="D114" s="11" t="s">
        <v>39</v>
      </c>
    </row>
    <row r="115" spans="1:4" ht="27.75" customHeight="1" x14ac:dyDescent="0.35">
      <c r="A115" s="39" t="s">
        <v>40</v>
      </c>
      <c r="B115" s="39"/>
      <c r="C115" s="12" t="s">
        <v>147</v>
      </c>
      <c r="D115" s="40"/>
    </row>
    <row r="116" spans="1:4" ht="27.75" customHeight="1" x14ac:dyDescent="0.35">
      <c r="A116" s="41" t="s">
        <v>42</v>
      </c>
      <c r="B116" s="41"/>
      <c r="C116" s="13" t="s">
        <v>148</v>
      </c>
      <c r="D116" s="40"/>
    </row>
    <row r="117" spans="1:4" ht="27.75" customHeight="1" x14ac:dyDescent="0.35">
      <c r="A117" s="42" t="s">
        <v>44</v>
      </c>
      <c r="B117" s="42"/>
      <c r="C117" s="14" t="s">
        <v>149</v>
      </c>
      <c r="D117" s="40"/>
    </row>
    <row r="118" spans="1:4" ht="27.75" customHeight="1" x14ac:dyDescent="0.35">
      <c r="A118" s="43" t="s">
        <v>46</v>
      </c>
      <c r="B118" s="43"/>
      <c r="C118" s="15" t="s">
        <v>150</v>
      </c>
      <c r="D118" s="40"/>
    </row>
    <row r="119" spans="1:4" ht="4.5" customHeight="1" x14ac:dyDescent="0.35"/>
    <row r="120" spans="1:4" ht="27.75" customHeight="1" x14ac:dyDescent="0.35">
      <c r="A120" s="38" t="s">
        <v>151</v>
      </c>
      <c r="B120" s="38"/>
      <c r="C120" s="10" t="s">
        <v>152</v>
      </c>
      <c r="D120" s="11" t="s">
        <v>39</v>
      </c>
    </row>
    <row r="121" spans="1:4" ht="27.75" customHeight="1" x14ac:dyDescent="0.35">
      <c r="A121" s="39" t="s">
        <v>40</v>
      </c>
      <c r="B121" s="39"/>
      <c r="C121" s="12" t="s">
        <v>153</v>
      </c>
      <c r="D121" s="40"/>
    </row>
    <row r="122" spans="1:4" ht="27.75" customHeight="1" x14ac:dyDescent="0.35">
      <c r="A122" s="41" t="s">
        <v>42</v>
      </c>
      <c r="B122" s="41"/>
      <c r="C122" s="13" t="s">
        <v>154</v>
      </c>
      <c r="D122" s="40"/>
    </row>
    <row r="123" spans="1:4" ht="27.75" customHeight="1" x14ac:dyDescent="0.35">
      <c r="A123" s="42" t="s">
        <v>44</v>
      </c>
      <c r="B123" s="42"/>
      <c r="C123" s="14" t="s">
        <v>155</v>
      </c>
      <c r="D123" s="40"/>
    </row>
    <row r="124" spans="1:4" ht="27.75" customHeight="1" x14ac:dyDescent="0.35">
      <c r="A124" s="43" t="s">
        <v>46</v>
      </c>
      <c r="B124" s="43"/>
      <c r="C124" s="15" t="s">
        <v>156</v>
      </c>
      <c r="D124" s="40"/>
    </row>
    <row r="125" spans="1:4" ht="4.5" customHeight="1" x14ac:dyDescent="0.35"/>
    <row r="126" spans="1:4" ht="27.75" customHeight="1" x14ac:dyDescent="0.35">
      <c r="A126" s="38" t="s">
        <v>157</v>
      </c>
      <c r="B126" s="38"/>
      <c r="C126" s="10" t="s">
        <v>158</v>
      </c>
      <c r="D126" s="11" t="s">
        <v>39</v>
      </c>
    </row>
    <row r="127" spans="1:4" ht="27.75" customHeight="1" x14ac:dyDescent="0.35">
      <c r="A127" s="39" t="s">
        <v>40</v>
      </c>
      <c r="B127" s="39"/>
      <c r="C127" s="12" t="s">
        <v>159</v>
      </c>
      <c r="D127" s="40"/>
    </row>
    <row r="128" spans="1:4" ht="27.75" customHeight="1" x14ac:dyDescent="0.35">
      <c r="A128" s="41" t="s">
        <v>42</v>
      </c>
      <c r="B128" s="41"/>
      <c r="C128" s="13" t="s">
        <v>160</v>
      </c>
      <c r="D128" s="40"/>
    </row>
    <row r="129" spans="1:4" ht="27.75" customHeight="1" x14ac:dyDescent="0.35">
      <c r="A129" s="42" t="s">
        <v>44</v>
      </c>
      <c r="B129" s="42"/>
      <c r="C129" s="14" t="s">
        <v>161</v>
      </c>
      <c r="D129" s="40"/>
    </row>
    <row r="130" spans="1:4" ht="27.75" customHeight="1" x14ac:dyDescent="0.35">
      <c r="A130" s="43" t="s">
        <v>46</v>
      </c>
      <c r="B130" s="43"/>
      <c r="C130" s="15" t="s">
        <v>162</v>
      </c>
      <c r="D130" s="40"/>
    </row>
    <row r="131" spans="1:4" ht="4.5" customHeight="1" x14ac:dyDescent="0.35"/>
    <row r="132" spans="1:4" ht="27.75" customHeight="1" x14ac:dyDescent="0.35">
      <c r="A132" s="38" t="s">
        <v>163</v>
      </c>
      <c r="B132" s="38"/>
      <c r="C132" s="10" t="s">
        <v>164</v>
      </c>
      <c r="D132" s="11" t="s">
        <v>39</v>
      </c>
    </row>
    <row r="133" spans="1:4" ht="27.75" customHeight="1" x14ac:dyDescent="0.35">
      <c r="A133" s="39" t="s">
        <v>40</v>
      </c>
      <c r="B133" s="39"/>
      <c r="C133" s="12" t="s">
        <v>165</v>
      </c>
      <c r="D133" s="40"/>
    </row>
    <row r="134" spans="1:4" ht="27.75" customHeight="1" x14ac:dyDescent="0.35">
      <c r="A134" s="41" t="s">
        <v>42</v>
      </c>
      <c r="B134" s="41"/>
      <c r="C134" s="13" t="s">
        <v>166</v>
      </c>
      <c r="D134" s="40"/>
    </row>
    <row r="135" spans="1:4" ht="27.75" customHeight="1" x14ac:dyDescent="0.35">
      <c r="A135" s="42" t="s">
        <v>44</v>
      </c>
      <c r="B135" s="42"/>
      <c r="C135" s="14" t="s">
        <v>167</v>
      </c>
      <c r="D135" s="40"/>
    </row>
    <row r="136" spans="1:4" ht="27.75" customHeight="1" x14ac:dyDescent="0.35">
      <c r="A136" s="43" t="s">
        <v>46</v>
      </c>
      <c r="B136" s="43"/>
      <c r="C136" s="15" t="s">
        <v>168</v>
      </c>
      <c r="D136" s="40"/>
    </row>
    <row r="137" spans="1:4" ht="4.5" customHeight="1" x14ac:dyDescent="0.35"/>
    <row r="138" spans="1:4" ht="27.75" customHeight="1" x14ac:dyDescent="0.35">
      <c r="A138" s="38" t="s">
        <v>169</v>
      </c>
      <c r="B138" s="38"/>
      <c r="C138" s="10" t="s">
        <v>170</v>
      </c>
      <c r="D138" s="11" t="s">
        <v>39</v>
      </c>
    </row>
    <row r="139" spans="1:4" ht="27.75" customHeight="1" x14ac:dyDescent="0.35">
      <c r="A139" s="39" t="s">
        <v>40</v>
      </c>
      <c r="B139" s="39"/>
      <c r="C139" s="12" t="s">
        <v>171</v>
      </c>
      <c r="D139" s="40"/>
    </row>
    <row r="140" spans="1:4" ht="27.75" customHeight="1" x14ac:dyDescent="0.35">
      <c r="A140" s="41" t="s">
        <v>42</v>
      </c>
      <c r="B140" s="41"/>
      <c r="C140" s="13" t="s">
        <v>172</v>
      </c>
      <c r="D140" s="40"/>
    </row>
    <row r="141" spans="1:4" ht="27.75" customHeight="1" x14ac:dyDescent="0.35">
      <c r="A141" s="42" t="s">
        <v>44</v>
      </c>
      <c r="B141" s="42"/>
      <c r="C141" s="14" t="s">
        <v>173</v>
      </c>
      <c r="D141" s="40"/>
    </row>
    <row r="142" spans="1:4" ht="27.75" customHeight="1" x14ac:dyDescent="0.35">
      <c r="A142" s="43" t="s">
        <v>46</v>
      </c>
      <c r="B142" s="43"/>
      <c r="C142" s="15" t="s">
        <v>174</v>
      </c>
      <c r="D142" s="40"/>
    </row>
    <row r="143" spans="1:4" ht="4.5" customHeight="1" x14ac:dyDescent="0.35"/>
    <row r="144" spans="1:4" ht="27.75" customHeight="1" x14ac:dyDescent="0.35">
      <c r="A144" s="38" t="s">
        <v>175</v>
      </c>
      <c r="B144" s="38"/>
      <c r="C144" s="10" t="s">
        <v>176</v>
      </c>
      <c r="D144" s="11" t="s">
        <v>39</v>
      </c>
    </row>
    <row r="145" spans="1:4" ht="27.75" customHeight="1" x14ac:dyDescent="0.35">
      <c r="A145" s="39" t="s">
        <v>40</v>
      </c>
      <c r="B145" s="39"/>
      <c r="C145" s="12" t="s">
        <v>177</v>
      </c>
      <c r="D145" s="40"/>
    </row>
    <row r="146" spans="1:4" ht="27.75" customHeight="1" x14ac:dyDescent="0.35">
      <c r="A146" s="41" t="s">
        <v>42</v>
      </c>
      <c r="B146" s="41"/>
      <c r="C146" s="13" t="s">
        <v>178</v>
      </c>
      <c r="D146" s="40"/>
    </row>
    <row r="147" spans="1:4" ht="27.75" customHeight="1" x14ac:dyDescent="0.35">
      <c r="A147" s="42" t="s">
        <v>44</v>
      </c>
      <c r="B147" s="42"/>
      <c r="C147" s="14" t="s">
        <v>179</v>
      </c>
      <c r="D147" s="40"/>
    </row>
    <row r="148" spans="1:4" ht="27.75" customHeight="1" x14ac:dyDescent="0.35">
      <c r="A148" s="43" t="s">
        <v>46</v>
      </c>
      <c r="B148" s="43"/>
      <c r="C148" s="15" t="s">
        <v>180</v>
      </c>
      <c r="D148" s="40"/>
    </row>
    <row r="149" spans="1:4" ht="4.5" customHeight="1" x14ac:dyDescent="0.35"/>
    <row r="150" spans="1:4" ht="27.75" customHeight="1" x14ac:dyDescent="0.35">
      <c r="A150" s="38" t="s">
        <v>181</v>
      </c>
      <c r="B150" s="38"/>
      <c r="C150" s="10" t="s">
        <v>182</v>
      </c>
      <c r="D150" s="11" t="s">
        <v>39</v>
      </c>
    </row>
    <row r="151" spans="1:4" ht="27.75" customHeight="1" x14ac:dyDescent="0.35">
      <c r="A151" s="39" t="s">
        <v>40</v>
      </c>
      <c r="B151" s="39"/>
      <c r="C151" s="12" t="s">
        <v>183</v>
      </c>
      <c r="D151" s="40"/>
    </row>
    <row r="152" spans="1:4" ht="27.75" customHeight="1" x14ac:dyDescent="0.35">
      <c r="A152" s="41" t="s">
        <v>42</v>
      </c>
      <c r="B152" s="41"/>
      <c r="C152" s="13" t="s">
        <v>184</v>
      </c>
      <c r="D152" s="40"/>
    </row>
    <row r="153" spans="1:4" ht="27.75" customHeight="1" x14ac:dyDescent="0.35">
      <c r="A153" s="42" t="s">
        <v>44</v>
      </c>
      <c r="B153" s="42"/>
      <c r="C153" s="14" t="s">
        <v>185</v>
      </c>
      <c r="D153" s="40"/>
    </row>
    <row r="154" spans="1:4" ht="27.75" customHeight="1" x14ac:dyDescent="0.35">
      <c r="A154" s="43" t="s">
        <v>46</v>
      </c>
      <c r="B154" s="43"/>
      <c r="C154" s="15" t="s">
        <v>186</v>
      </c>
      <c r="D154" s="40"/>
    </row>
    <row r="155" spans="1:4" ht="4.5" customHeight="1" x14ac:dyDescent="0.35"/>
    <row r="156" spans="1:4" ht="27.75" customHeight="1" x14ac:dyDescent="0.35">
      <c r="A156" s="38" t="s">
        <v>187</v>
      </c>
      <c r="B156" s="38"/>
      <c r="C156" s="10" t="s">
        <v>188</v>
      </c>
      <c r="D156" s="11" t="s">
        <v>39</v>
      </c>
    </row>
    <row r="157" spans="1:4" ht="27.75" customHeight="1" x14ac:dyDescent="0.35">
      <c r="A157" s="39" t="s">
        <v>40</v>
      </c>
      <c r="B157" s="39"/>
      <c r="C157" s="12" t="s">
        <v>189</v>
      </c>
      <c r="D157" s="40"/>
    </row>
    <row r="158" spans="1:4" ht="27.75" customHeight="1" x14ac:dyDescent="0.35">
      <c r="A158" s="41" t="s">
        <v>42</v>
      </c>
      <c r="B158" s="41"/>
      <c r="C158" s="13" t="s">
        <v>190</v>
      </c>
      <c r="D158" s="40"/>
    </row>
    <row r="159" spans="1:4" ht="27.75" customHeight="1" x14ac:dyDescent="0.35">
      <c r="A159" s="42" t="s">
        <v>44</v>
      </c>
      <c r="B159" s="42"/>
      <c r="C159" s="14" t="s">
        <v>191</v>
      </c>
      <c r="D159" s="40"/>
    </row>
    <row r="160" spans="1:4" ht="27.75" customHeight="1" x14ac:dyDescent="0.35">
      <c r="A160" s="43" t="s">
        <v>46</v>
      </c>
      <c r="B160" s="43"/>
      <c r="C160" s="15" t="s">
        <v>192</v>
      </c>
      <c r="D160" s="40"/>
    </row>
    <row r="161" spans="1:4" ht="4.5" customHeight="1" x14ac:dyDescent="0.35"/>
    <row r="162" spans="1:4" ht="27.75" customHeight="1" x14ac:dyDescent="0.35">
      <c r="A162" s="38" t="s">
        <v>193</v>
      </c>
      <c r="B162" s="38"/>
      <c r="C162" s="10" t="s">
        <v>194</v>
      </c>
      <c r="D162" s="11" t="s">
        <v>39</v>
      </c>
    </row>
    <row r="163" spans="1:4" ht="27.75" customHeight="1" x14ac:dyDescent="0.35">
      <c r="A163" s="39" t="s">
        <v>40</v>
      </c>
      <c r="B163" s="39"/>
      <c r="C163" s="12" t="s">
        <v>195</v>
      </c>
      <c r="D163" s="40"/>
    </row>
    <row r="164" spans="1:4" ht="27.75" customHeight="1" x14ac:dyDescent="0.35">
      <c r="A164" s="41" t="s">
        <v>42</v>
      </c>
      <c r="B164" s="41"/>
      <c r="C164" s="13" t="s">
        <v>196</v>
      </c>
      <c r="D164" s="40"/>
    </row>
    <row r="165" spans="1:4" ht="27.75" customHeight="1" x14ac:dyDescent="0.35">
      <c r="A165" s="42" t="s">
        <v>44</v>
      </c>
      <c r="B165" s="42"/>
      <c r="C165" s="14" t="s">
        <v>197</v>
      </c>
      <c r="D165" s="40"/>
    </row>
    <row r="166" spans="1:4" ht="27.75" customHeight="1" x14ac:dyDescent="0.35">
      <c r="A166" s="43" t="s">
        <v>46</v>
      </c>
      <c r="B166" s="43"/>
      <c r="C166" s="15" t="s">
        <v>198</v>
      </c>
      <c r="D166" s="40"/>
    </row>
    <row r="167" spans="1:4" ht="4.5" customHeight="1" x14ac:dyDescent="0.35"/>
    <row r="168" spans="1:4" ht="27.75" customHeight="1" x14ac:dyDescent="0.35">
      <c r="A168" s="38" t="s">
        <v>199</v>
      </c>
      <c r="B168" s="38"/>
      <c r="C168" s="10" t="s">
        <v>200</v>
      </c>
      <c r="D168" s="11" t="s">
        <v>39</v>
      </c>
    </row>
    <row r="169" spans="1:4" ht="27.75" customHeight="1" x14ac:dyDescent="0.35">
      <c r="A169" s="39" t="s">
        <v>40</v>
      </c>
      <c r="B169" s="39"/>
      <c r="C169" s="12" t="s">
        <v>201</v>
      </c>
      <c r="D169" s="40"/>
    </row>
    <row r="170" spans="1:4" ht="27.75" customHeight="1" x14ac:dyDescent="0.35">
      <c r="A170" s="41" t="s">
        <v>42</v>
      </c>
      <c r="B170" s="41"/>
      <c r="C170" s="13" t="s">
        <v>202</v>
      </c>
      <c r="D170" s="40"/>
    </row>
    <row r="171" spans="1:4" ht="27.75" customHeight="1" x14ac:dyDescent="0.35">
      <c r="A171" s="42" t="s">
        <v>44</v>
      </c>
      <c r="B171" s="42"/>
      <c r="C171" s="14" t="s">
        <v>203</v>
      </c>
      <c r="D171" s="40"/>
    </row>
    <row r="172" spans="1:4" ht="27.75" customHeight="1" x14ac:dyDescent="0.35">
      <c r="A172" s="43" t="s">
        <v>46</v>
      </c>
      <c r="B172" s="43"/>
      <c r="C172" s="15" t="s">
        <v>204</v>
      </c>
      <c r="D172" s="40"/>
    </row>
    <row r="173" spans="1:4" ht="4.5" customHeight="1" x14ac:dyDescent="0.35"/>
    <row r="174" spans="1:4" ht="27.75" customHeight="1" x14ac:dyDescent="0.35">
      <c r="A174" s="38" t="s">
        <v>205</v>
      </c>
      <c r="B174" s="38"/>
      <c r="C174" s="10" t="s">
        <v>206</v>
      </c>
      <c r="D174" s="11" t="s">
        <v>39</v>
      </c>
    </row>
    <row r="175" spans="1:4" ht="27.75" customHeight="1" x14ac:dyDescent="0.35">
      <c r="A175" s="39" t="s">
        <v>40</v>
      </c>
      <c r="B175" s="39"/>
      <c r="C175" s="12" t="s">
        <v>207</v>
      </c>
      <c r="D175" s="40"/>
    </row>
    <row r="176" spans="1:4" ht="27.75" customHeight="1" x14ac:dyDescent="0.35">
      <c r="A176" s="41" t="s">
        <v>42</v>
      </c>
      <c r="B176" s="41"/>
      <c r="C176" s="13" t="s">
        <v>208</v>
      </c>
      <c r="D176" s="40"/>
    </row>
    <row r="177" spans="1:4" ht="27.75" customHeight="1" x14ac:dyDescent="0.35">
      <c r="A177" s="42" t="s">
        <v>44</v>
      </c>
      <c r="B177" s="42"/>
      <c r="C177" s="14" t="s">
        <v>209</v>
      </c>
      <c r="D177" s="40"/>
    </row>
    <row r="178" spans="1:4" ht="27.75" customHeight="1" x14ac:dyDescent="0.35">
      <c r="A178" s="43" t="s">
        <v>46</v>
      </c>
      <c r="B178" s="43"/>
      <c r="C178" s="15" t="s">
        <v>210</v>
      </c>
      <c r="D178" s="40"/>
    </row>
    <row r="179" spans="1:4" ht="4.5" customHeight="1" x14ac:dyDescent="0.35"/>
    <row r="180" spans="1:4" ht="27.75" customHeight="1" x14ac:dyDescent="0.35">
      <c r="A180" s="38" t="s">
        <v>211</v>
      </c>
      <c r="B180" s="38"/>
      <c r="C180" s="10" t="s">
        <v>212</v>
      </c>
      <c r="D180" s="11" t="s">
        <v>39</v>
      </c>
    </row>
    <row r="181" spans="1:4" ht="27.75" customHeight="1" x14ac:dyDescent="0.35">
      <c r="A181" s="39" t="s">
        <v>40</v>
      </c>
      <c r="B181" s="39"/>
      <c r="C181" s="12" t="s">
        <v>213</v>
      </c>
      <c r="D181" s="40"/>
    </row>
    <row r="182" spans="1:4" ht="27.75" customHeight="1" x14ac:dyDescent="0.35">
      <c r="A182" s="41" t="s">
        <v>42</v>
      </c>
      <c r="B182" s="41"/>
      <c r="C182" s="13" t="s">
        <v>214</v>
      </c>
      <c r="D182" s="40"/>
    </row>
    <row r="183" spans="1:4" ht="27.75" customHeight="1" x14ac:dyDescent="0.35">
      <c r="A183" s="42" t="s">
        <v>44</v>
      </c>
      <c r="B183" s="42"/>
      <c r="C183" s="14" t="s">
        <v>215</v>
      </c>
      <c r="D183" s="40"/>
    </row>
    <row r="184" spans="1:4" ht="27.75" customHeight="1" x14ac:dyDescent="0.35">
      <c r="A184" s="43" t="s">
        <v>46</v>
      </c>
      <c r="B184" s="43"/>
      <c r="C184" s="15" t="s">
        <v>216</v>
      </c>
      <c r="D184" s="40"/>
    </row>
    <row r="185" spans="1:4" ht="4.5" customHeight="1" x14ac:dyDescent="0.35"/>
    <row r="186" spans="1:4" ht="27.75" customHeight="1" x14ac:dyDescent="0.35">
      <c r="A186" s="38" t="s">
        <v>217</v>
      </c>
      <c r="B186" s="38"/>
      <c r="C186" s="10" t="s">
        <v>218</v>
      </c>
      <c r="D186" s="11" t="s">
        <v>39</v>
      </c>
    </row>
    <row r="187" spans="1:4" ht="27.75" customHeight="1" x14ac:dyDescent="0.35">
      <c r="A187" s="39" t="s">
        <v>40</v>
      </c>
      <c r="B187" s="39"/>
      <c r="C187" s="12" t="s">
        <v>219</v>
      </c>
      <c r="D187" s="40"/>
    </row>
    <row r="188" spans="1:4" ht="27.75" customHeight="1" x14ac:dyDescent="0.35">
      <c r="A188" s="41" t="s">
        <v>42</v>
      </c>
      <c r="B188" s="41"/>
      <c r="C188" s="13" t="s">
        <v>220</v>
      </c>
      <c r="D188" s="40"/>
    </row>
    <row r="189" spans="1:4" ht="27.75" customHeight="1" x14ac:dyDescent="0.35">
      <c r="A189" s="42" t="s">
        <v>44</v>
      </c>
      <c r="B189" s="42"/>
      <c r="C189" s="14" t="s">
        <v>221</v>
      </c>
      <c r="D189" s="40"/>
    </row>
    <row r="190" spans="1:4" ht="27.75" customHeight="1" x14ac:dyDescent="0.35">
      <c r="A190" s="43" t="s">
        <v>46</v>
      </c>
      <c r="B190" s="43"/>
      <c r="C190" s="15" t="s">
        <v>222</v>
      </c>
      <c r="D190" s="40"/>
    </row>
    <row r="191" spans="1:4" ht="4.5" customHeight="1" x14ac:dyDescent="0.35"/>
    <row r="192" spans="1:4" ht="27.75" customHeight="1" x14ac:dyDescent="0.35">
      <c r="A192" s="38" t="s">
        <v>223</v>
      </c>
      <c r="B192" s="38"/>
      <c r="C192" s="10" t="s">
        <v>224</v>
      </c>
      <c r="D192" s="11" t="s">
        <v>39</v>
      </c>
    </row>
    <row r="193" spans="1:4" ht="27.75" customHeight="1" x14ac:dyDescent="0.35">
      <c r="A193" s="39" t="s">
        <v>40</v>
      </c>
      <c r="B193" s="39"/>
      <c r="C193" s="12" t="s">
        <v>225</v>
      </c>
      <c r="D193" s="40"/>
    </row>
    <row r="194" spans="1:4" ht="27.75" customHeight="1" x14ac:dyDescent="0.35">
      <c r="A194" s="41" t="s">
        <v>42</v>
      </c>
      <c r="B194" s="41"/>
      <c r="C194" s="13" t="s">
        <v>226</v>
      </c>
      <c r="D194" s="40"/>
    </row>
    <row r="195" spans="1:4" ht="27.75" customHeight="1" x14ac:dyDescent="0.35">
      <c r="A195" s="42" t="s">
        <v>44</v>
      </c>
      <c r="B195" s="42"/>
      <c r="C195" s="14" t="s">
        <v>227</v>
      </c>
      <c r="D195" s="40"/>
    </row>
    <row r="196" spans="1:4" ht="27.75" customHeight="1" x14ac:dyDescent="0.35">
      <c r="A196" s="43" t="s">
        <v>46</v>
      </c>
      <c r="B196" s="43"/>
      <c r="C196" s="15" t="s">
        <v>228</v>
      </c>
      <c r="D196" s="40"/>
    </row>
    <row r="197" spans="1:4" ht="4.5" customHeight="1" x14ac:dyDescent="0.35"/>
    <row r="198" spans="1:4" ht="27.75" customHeight="1" x14ac:dyDescent="0.35">
      <c r="A198" s="38" t="s">
        <v>229</v>
      </c>
      <c r="B198" s="38"/>
      <c r="C198" s="10" t="s">
        <v>230</v>
      </c>
      <c r="D198" s="11" t="s">
        <v>39</v>
      </c>
    </row>
    <row r="199" spans="1:4" ht="27.75" customHeight="1" x14ac:dyDescent="0.35">
      <c r="A199" s="39" t="s">
        <v>40</v>
      </c>
      <c r="B199" s="39"/>
      <c r="C199" s="12" t="s">
        <v>231</v>
      </c>
      <c r="D199" s="40"/>
    </row>
    <row r="200" spans="1:4" ht="27.75" customHeight="1" x14ac:dyDescent="0.35">
      <c r="A200" s="41" t="s">
        <v>42</v>
      </c>
      <c r="B200" s="41"/>
      <c r="C200" s="13" t="s">
        <v>232</v>
      </c>
      <c r="D200" s="40"/>
    </row>
    <row r="201" spans="1:4" ht="27.75" customHeight="1" x14ac:dyDescent="0.35">
      <c r="A201" s="42" t="s">
        <v>44</v>
      </c>
      <c r="B201" s="42"/>
      <c r="C201" s="14" t="s">
        <v>233</v>
      </c>
      <c r="D201" s="40"/>
    </row>
    <row r="202" spans="1:4" ht="27.75" customHeight="1" x14ac:dyDescent="0.35">
      <c r="A202" s="43" t="s">
        <v>46</v>
      </c>
      <c r="B202" s="43"/>
      <c r="C202" s="15" t="s">
        <v>234</v>
      </c>
      <c r="D202" s="40"/>
    </row>
    <row r="203" spans="1:4" ht="4.5" customHeight="1" x14ac:dyDescent="0.35"/>
    <row r="204" spans="1:4" ht="27.75" customHeight="1" x14ac:dyDescent="0.35">
      <c r="A204" s="38" t="s">
        <v>235</v>
      </c>
      <c r="B204" s="38"/>
      <c r="C204" s="10" t="s">
        <v>236</v>
      </c>
      <c r="D204" s="11" t="s">
        <v>39</v>
      </c>
    </row>
    <row r="205" spans="1:4" ht="27.75" customHeight="1" x14ac:dyDescent="0.35">
      <c r="A205" s="39" t="s">
        <v>40</v>
      </c>
      <c r="B205" s="39"/>
      <c r="C205" s="12" t="s">
        <v>237</v>
      </c>
      <c r="D205" s="40"/>
    </row>
    <row r="206" spans="1:4" ht="27.75" customHeight="1" x14ac:dyDescent="0.35">
      <c r="A206" s="41" t="s">
        <v>42</v>
      </c>
      <c r="B206" s="41"/>
      <c r="C206" s="13" t="s">
        <v>238</v>
      </c>
      <c r="D206" s="40"/>
    </row>
    <row r="207" spans="1:4" ht="27.75" customHeight="1" x14ac:dyDescent="0.35">
      <c r="A207" s="42" t="s">
        <v>44</v>
      </c>
      <c r="B207" s="42"/>
      <c r="C207" s="14" t="s">
        <v>239</v>
      </c>
      <c r="D207" s="40"/>
    </row>
    <row r="208" spans="1:4" ht="27.75" customHeight="1" x14ac:dyDescent="0.35">
      <c r="A208" s="43" t="s">
        <v>46</v>
      </c>
      <c r="B208" s="43"/>
      <c r="C208" s="15" t="s">
        <v>240</v>
      </c>
      <c r="D208" s="40"/>
    </row>
    <row r="209" spans="1:4" ht="4.5" customHeight="1" x14ac:dyDescent="0.35"/>
    <row r="210" spans="1:4" ht="6" customHeight="1" x14ac:dyDescent="0.35"/>
    <row r="211" spans="1:4" ht="24" customHeight="1" x14ac:dyDescent="0.35">
      <c r="A211" s="49" t="s">
        <v>241</v>
      </c>
      <c r="B211" s="49"/>
      <c r="C211" s="49"/>
      <c r="D211" s="49"/>
    </row>
    <row r="212" spans="1:4" ht="3.75" customHeight="1" x14ac:dyDescent="0.35"/>
    <row r="213" spans="1:4" ht="27.75" customHeight="1" x14ac:dyDescent="0.35">
      <c r="A213" s="38" t="s">
        <v>242</v>
      </c>
      <c r="B213" s="38"/>
      <c r="C213" s="10" t="s">
        <v>243</v>
      </c>
      <c r="D213" s="11" t="s">
        <v>39</v>
      </c>
    </row>
    <row r="214" spans="1:4" ht="27.75" customHeight="1" x14ac:dyDescent="0.35">
      <c r="A214" s="39" t="s">
        <v>40</v>
      </c>
      <c r="B214" s="39"/>
      <c r="C214" s="12" t="s">
        <v>244</v>
      </c>
      <c r="D214" s="40"/>
    </row>
    <row r="215" spans="1:4" ht="27.75" customHeight="1" x14ac:dyDescent="0.35">
      <c r="A215" s="41" t="s">
        <v>42</v>
      </c>
      <c r="B215" s="41"/>
      <c r="C215" s="13" t="s">
        <v>245</v>
      </c>
      <c r="D215" s="40"/>
    </row>
    <row r="216" spans="1:4" ht="27.75" customHeight="1" x14ac:dyDescent="0.35">
      <c r="A216" s="42" t="s">
        <v>44</v>
      </c>
      <c r="B216" s="42"/>
      <c r="C216" s="14" t="s">
        <v>246</v>
      </c>
      <c r="D216" s="40"/>
    </row>
    <row r="217" spans="1:4" ht="27.75" customHeight="1" x14ac:dyDescent="0.35">
      <c r="A217" s="43" t="s">
        <v>46</v>
      </c>
      <c r="B217" s="43"/>
      <c r="C217" s="15" t="s">
        <v>247</v>
      </c>
      <c r="D217" s="40"/>
    </row>
    <row r="218" spans="1:4" ht="4.5" customHeight="1" x14ac:dyDescent="0.35"/>
    <row r="219" spans="1:4" ht="27.75" customHeight="1" x14ac:dyDescent="0.35">
      <c r="A219" s="38" t="s">
        <v>248</v>
      </c>
      <c r="B219" s="38"/>
      <c r="C219" s="10" t="s">
        <v>249</v>
      </c>
      <c r="D219" s="11" t="s">
        <v>39</v>
      </c>
    </row>
    <row r="220" spans="1:4" ht="27.75" customHeight="1" x14ac:dyDescent="0.35">
      <c r="A220" s="39" t="s">
        <v>40</v>
      </c>
      <c r="B220" s="39"/>
      <c r="C220" s="12" t="s">
        <v>250</v>
      </c>
      <c r="D220" s="40"/>
    </row>
    <row r="221" spans="1:4" ht="27.75" customHeight="1" x14ac:dyDescent="0.35">
      <c r="A221" s="41" t="s">
        <v>42</v>
      </c>
      <c r="B221" s="41"/>
      <c r="C221" s="13" t="s">
        <v>251</v>
      </c>
      <c r="D221" s="40"/>
    </row>
    <row r="222" spans="1:4" ht="27.75" customHeight="1" x14ac:dyDescent="0.35">
      <c r="A222" s="42" t="s">
        <v>44</v>
      </c>
      <c r="B222" s="42"/>
      <c r="C222" s="14" t="s">
        <v>252</v>
      </c>
      <c r="D222" s="40"/>
    </row>
    <row r="223" spans="1:4" ht="27.75" customHeight="1" x14ac:dyDescent="0.35">
      <c r="A223" s="43" t="s">
        <v>46</v>
      </c>
      <c r="B223" s="43"/>
      <c r="C223" s="15" t="s">
        <v>253</v>
      </c>
      <c r="D223" s="40"/>
    </row>
    <row r="224" spans="1:4" ht="4.5" customHeight="1" x14ac:dyDescent="0.35"/>
    <row r="225" spans="1:4" ht="27.75" customHeight="1" x14ac:dyDescent="0.35">
      <c r="A225" s="38" t="s">
        <v>254</v>
      </c>
      <c r="B225" s="38"/>
      <c r="C225" s="10" t="s">
        <v>255</v>
      </c>
      <c r="D225" s="11" t="s">
        <v>39</v>
      </c>
    </row>
    <row r="226" spans="1:4" ht="27.75" customHeight="1" x14ac:dyDescent="0.35">
      <c r="A226" s="39" t="s">
        <v>40</v>
      </c>
      <c r="B226" s="39"/>
      <c r="C226" s="12" t="s">
        <v>256</v>
      </c>
      <c r="D226" s="40"/>
    </row>
    <row r="227" spans="1:4" ht="27.75" customHeight="1" x14ac:dyDescent="0.35">
      <c r="A227" s="41" t="s">
        <v>42</v>
      </c>
      <c r="B227" s="41"/>
      <c r="C227" s="13" t="s">
        <v>257</v>
      </c>
      <c r="D227" s="40"/>
    </row>
    <row r="228" spans="1:4" ht="27.75" customHeight="1" x14ac:dyDescent="0.35">
      <c r="A228" s="42" t="s">
        <v>44</v>
      </c>
      <c r="B228" s="42"/>
      <c r="C228" s="14" t="s">
        <v>258</v>
      </c>
      <c r="D228" s="40"/>
    </row>
    <row r="229" spans="1:4" ht="27.75" customHeight="1" x14ac:dyDescent="0.35">
      <c r="A229" s="43" t="s">
        <v>46</v>
      </c>
      <c r="B229" s="43"/>
      <c r="C229" s="15" t="s">
        <v>259</v>
      </c>
      <c r="D229" s="40"/>
    </row>
    <row r="230" spans="1:4" ht="4.5" customHeight="1" x14ac:dyDescent="0.35"/>
    <row r="231" spans="1:4" ht="27.75" customHeight="1" x14ac:dyDescent="0.35">
      <c r="A231" s="38" t="s">
        <v>260</v>
      </c>
      <c r="B231" s="38"/>
      <c r="C231" s="10" t="s">
        <v>261</v>
      </c>
      <c r="D231" s="11" t="s">
        <v>39</v>
      </c>
    </row>
    <row r="232" spans="1:4" ht="27.75" customHeight="1" x14ac:dyDescent="0.35">
      <c r="A232" s="39" t="s">
        <v>40</v>
      </c>
      <c r="B232" s="39"/>
      <c r="C232" s="12" t="s">
        <v>262</v>
      </c>
      <c r="D232" s="40"/>
    </row>
    <row r="233" spans="1:4" ht="27.75" customHeight="1" x14ac:dyDescent="0.35">
      <c r="A233" s="41" t="s">
        <v>42</v>
      </c>
      <c r="B233" s="41"/>
      <c r="C233" s="13" t="s">
        <v>263</v>
      </c>
      <c r="D233" s="40"/>
    </row>
    <row r="234" spans="1:4" ht="27.75" customHeight="1" x14ac:dyDescent="0.35">
      <c r="A234" s="42" t="s">
        <v>44</v>
      </c>
      <c r="B234" s="42"/>
      <c r="C234" s="14" t="s">
        <v>264</v>
      </c>
      <c r="D234" s="40"/>
    </row>
    <row r="235" spans="1:4" ht="27.75" customHeight="1" x14ac:dyDescent="0.35">
      <c r="A235" s="43" t="s">
        <v>46</v>
      </c>
      <c r="B235" s="43"/>
      <c r="C235" s="15" t="s">
        <v>265</v>
      </c>
      <c r="D235" s="40"/>
    </row>
    <row r="236" spans="1:4" ht="4.5" customHeight="1" x14ac:dyDescent="0.35"/>
    <row r="237" spans="1:4" ht="27.75" customHeight="1" x14ac:dyDescent="0.35">
      <c r="A237" s="38" t="s">
        <v>266</v>
      </c>
      <c r="B237" s="38"/>
      <c r="C237" s="10" t="s">
        <v>267</v>
      </c>
      <c r="D237" s="11" t="s">
        <v>39</v>
      </c>
    </row>
    <row r="238" spans="1:4" ht="27.75" customHeight="1" x14ac:dyDescent="0.35">
      <c r="A238" s="39" t="s">
        <v>40</v>
      </c>
      <c r="B238" s="39"/>
      <c r="C238" s="12" t="s">
        <v>268</v>
      </c>
      <c r="D238" s="40"/>
    </row>
    <row r="239" spans="1:4" ht="27.75" customHeight="1" x14ac:dyDescent="0.35">
      <c r="A239" s="41" t="s">
        <v>42</v>
      </c>
      <c r="B239" s="41"/>
      <c r="C239" s="13" t="s">
        <v>269</v>
      </c>
      <c r="D239" s="40"/>
    </row>
    <row r="240" spans="1:4" ht="27.75" customHeight="1" x14ac:dyDescent="0.35">
      <c r="A240" s="42" t="s">
        <v>44</v>
      </c>
      <c r="B240" s="42"/>
      <c r="C240" s="14" t="s">
        <v>270</v>
      </c>
      <c r="D240" s="40"/>
    </row>
    <row r="241" spans="1:4" ht="27.75" customHeight="1" x14ac:dyDescent="0.35">
      <c r="A241" s="43" t="s">
        <v>46</v>
      </c>
      <c r="B241" s="43"/>
      <c r="C241" s="15" t="s">
        <v>271</v>
      </c>
      <c r="D241" s="40"/>
    </row>
    <row r="242" spans="1:4" ht="4.5" customHeight="1" x14ac:dyDescent="0.35"/>
    <row r="243" spans="1:4" ht="27.75" customHeight="1" x14ac:dyDescent="0.35">
      <c r="A243" s="38" t="s">
        <v>272</v>
      </c>
      <c r="B243" s="38"/>
      <c r="C243" s="10" t="s">
        <v>273</v>
      </c>
      <c r="D243" s="11" t="s">
        <v>39</v>
      </c>
    </row>
    <row r="244" spans="1:4" ht="27.75" customHeight="1" x14ac:dyDescent="0.35">
      <c r="A244" s="39" t="s">
        <v>40</v>
      </c>
      <c r="B244" s="39"/>
      <c r="C244" s="12" t="s">
        <v>274</v>
      </c>
      <c r="D244" s="40"/>
    </row>
    <row r="245" spans="1:4" ht="27.75" customHeight="1" x14ac:dyDescent="0.35">
      <c r="A245" s="41" t="s">
        <v>42</v>
      </c>
      <c r="B245" s="41"/>
      <c r="C245" s="13" t="s">
        <v>275</v>
      </c>
      <c r="D245" s="40"/>
    </row>
    <row r="246" spans="1:4" ht="27.75" customHeight="1" x14ac:dyDescent="0.35">
      <c r="A246" s="42" t="s">
        <v>44</v>
      </c>
      <c r="B246" s="42"/>
      <c r="C246" s="14" t="s">
        <v>276</v>
      </c>
      <c r="D246" s="40"/>
    </row>
    <row r="247" spans="1:4" ht="27.75" customHeight="1" x14ac:dyDescent="0.35">
      <c r="A247" s="43" t="s">
        <v>46</v>
      </c>
      <c r="B247" s="43"/>
      <c r="C247" s="15" t="s">
        <v>277</v>
      </c>
      <c r="D247" s="40"/>
    </row>
    <row r="248" spans="1:4" ht="4.5" customHeight="1" x14ac:dyDescent="0.35"/>
    <row r="249" spans="1:4" ht="27.75" customHeight="1" x14ac:dyDescent="0.35">
      <c r="A249" s="38" t="s">
        <v>278</v>
      </c>
      <c r="B249" s="38"/>
      <c r="C249" s="10" t="s">
        <v>279</v>
      </c>
      <c r="D249" s="11" t="s">
        <v>39</v>
      </c>
    </row>
    <row r="250" spans="1:4" ht="27.75" customHeight="1" x14ac:dyDescent="0.35">
      <c r="A250" s="39" t="s">
        <v>40</v>
      </c>
      <c r="B250" s="39"/>
      <c r="C250" s="12" t="s">
        <v>280</v>
      </c>
      <c r="D250" s="40"/>
    </row>
    <row r="251" spans="1:4" ht="27.75" customHeight="1" x14ac:dyDescent="0.35">
      <c r="A251" s="41" t="s">
        <v>42</v>
      </c>
      <c r="B251" s="41"/>
      <c r="C251" s="13" t="s">
        <v>281</v>
      </c>
      <c r="D251" s="40"/>
    </row>
    <row r="252" spans="1:4" ht="27.75" customHeight="1" x14ac:dyDescent="0.35">
      <c r="A252" s="42" t="s">
        <v>44</v>
      </c>
      <c r="B252" s="42"/>
      <c r="C252" s="14" t="s">
        <v>282</v>
      </c>
      <c r="D252" s="40"/>
    </row>
    <row r="253" spans="1:4" ht="27.75" customHeight="1" x14ac:dyDescent="0.35">
      <c r="A253" s="43" t="s">
        <v>46</v>
      </c>
      <c r="B253" s="43"/>
      <c r="C253" s="15" t="s">
        <v>283</v>
      </c>
      <c r="D253" s="40"/>
    </row>
    <row r="254" spans="1:4" ht="4.5" customHeight="1" x14ac:dyDescent="0.35"/>
    <row r="255" spans="1:4" ht="27.75" customHeight="1" x14ac:dyDescent="0.35">
      <c r="A255" s="38" t="s">
        <v>284</v>
      </c>
      <c r="B255" s="38"/>
      <c r="C255" s="10" t="s">
        <v>285</v>
      </c>
      <c r="D255" s="11" t="s">
        <v>39</v>
      </c>
    </row>
    <row r="256" spans="1:4" ht="27.75" customHeight="1" x14ac:dyDescent="0.35">
      <c r="A256" s="39" t="s">
        <v>40</v>
      </c>
      <c r="B256" s="39"/>
      <c r="C256" s="12" t="s">
        <v>286</v>
      </c>
      <c r="D256" s="40"/>
    </row>
    <row r="257" spans="1:4" ht="27.75" customHeight="1" x14ac:dyDescent="0.35">
      <c r="A257" s="41" t="s">
        <v>42</v>
      </c>
      <c r="B257" s="41"/>
      <c r="C257" s="13" t="s">
        <v>287</v>
      </c>
      <c r="D257" s="40"/>
    </row>
    <row r="258" spans="1:4" ht="27.75" customHeight="1" x14ac:dyDescent="0.35">
      <c r="A258" s="42" t="s">
        <v>44</v>
      </c>
      <c r="B258" s="42"/>
      <c r="C258" s="14" t="s">
        <v>288</v>
      </c>
      <c r="D258" s="40"/>
    </row>
    <row r="259" spans="1:4" ht="27.75" customHeight="1" x14ac:dyDescent="0.35">
      <c r="A259" s="43" t="s">
        <v>46</v>
      </c>
      <c r="B259" s="43"/>
      <c r="C259" s="15" t="s">
        <v>289</v>
      </c>
      <c r="D259" s="40"/>
    </row>
    <row r="260" spans="1:4" ht="4.5" customHeight="1" x14ac:dyDescent="0.35"/>
    <row r="261" spans="1:4" ht="27.75" customHeight="1" x14ac:dyDescent="0.35">
      <c r="A261" s="38" t="s">
        <v>290</v>
      </c>
      <c r="B261" s="38"/>
      <c r="C261" s="10" t="s">
        <v>291</v>
      </c>
      <c r="D261" s="11" t="s">
        <v>39</v>
      </c>
    </row>
    <row r="262" spans="1:4" ht="27.75" customHeight="1" x14ac:dyDescent="0.35">
      <c r="A262" s="39" t="s">
        <v>40</v>
      </c>
      <c r="B262" s="39"/>
      <c r="C262" s="12" t="s">
        <v>292</v>
      </c>
      <c r="D262" s="40"/>
    </row>
    <row r="263" spans="1:4" ht="27.75" customHeight="1" x14ac:dyDescent="0.35">
      <c r="A263" s="41" t="s">
        <v>42</v>
      </c>
      <c r="B263" s="41"/>
      <c r="C263" s="13" t="s">
        <v>293</v>
      </c>
      <c r="D263" s="40"/>
    </row>
    <row r="264" spans="1:4" ht="27.75" customHeight="1" x14ac:dyDescent="0.35">
      <c r="A264" s="42" t="s">
        <v>44</v>
      </c>
      <c r="B264" s="42"/>
      <c r="C264" s="14" t="s">
        <v>294</v>
      </c>
      <c r="D264" s="40"/>
    </row>
    <row r="265" spans="1:4" ht="27.75" customHeight="1" x14ac:dyDescent="0.35">
      <c r="A265" s="43" t="s">
        <v>46</v>
      </c>
      <c r="B265" s="43"/>
      <c r="C265" s="15" t="s">
        <v>295</v>
      </c>
      <c r="D265" s="40"/>
    </row>
    <row r="266" spans="1:4" ht="4.5" customHeight="1" x14ac:dyDescent="0.35"/>
    <row r="267" spans="1:4" ht="27.75" customHeight="1" x14ac:dyDescent="0.35">
      <c r="A267" s="38" t="s">
        <v>296</v>
      </c>
      <c r="B267" s="38"/>
      <c r="C267" s="10" t="s">
        <v>297</v>
      </c>
      <c r="D267" s="11" t="s">
        <v>39</v>
      </c>
    </row>
    <row r="268" spans="1:4" ht="27.75" customHeight="1" x14ac:dyDescent="0.35">
      <c r="A268" s="39" t="s">
        <v>40</v>
      </c>
      <c r="B268" s="39"/>
      <c r="C268" s="12" t="s">
        <v>298</v>
      </c>
      <c r="D268" s="40"/>
    </row>
    <row r="269" spans="1:4" ht="27.75" customHeight="1" x14ac:dyDescent="0.35">
      <c r="A269" s="41" t="s">
        <v>42</v>
      </c>
      <c r="B269" s="41"/>
      <c r="C269" s="13" t="s">
        <v>299</v>
      </c>
      <c r="D269" s="40"/>
    </row>
    <row r="270" spans="1:4" ht="27.75" customHeight="1" x14ac:dyDescent="0.35">
      <c r="A270" s="42" t="s">
        <v>44</v>
      </c>
      <c r="B270" s="42"/>
      <c r="C270" s="14" t="s">
        <v>300</v>
      </c>
      <c r="D270" s="40"/>
    </row>
    <row r="271" spans="1:4" ht="27.75" customHeight="1" x14ac:dyDescent="0.35">
      <c r="A271" s="43" t="s">
        <v>46</v>
      </c>
      <c r="B271" s="43"/>
      <c r="C271" s="15" t="s">
        <v>301</v>
      </c>
      <c r="D271" s="40"/>
    </row>
    <row r="272" spans="1:4" ht="4.5" customHeight="1" x14ac:dyDescent="0.35"/>
    <row r="273" spans="1:4" ht="27.75" customHeight="1" x14ac:dyDescent="0.35">
      <c r="A273" s="38" t="s">
        <v>302</v>
      </c>
      <c r="B273" s="38"/>
      <c r="C273" s="10" t="s">
        <v>303</v>
      </c>
      <c r="D273" s="11" t="s">
        <v>39</v>
      </c>
    </row>
    <row r="274" spans="1:4" ht="27.75" customHeight="1" x14ac:dyDescent="0.35">
      <c r="A274" s="39" t="s">
        <v>40</v>
      </c>
      <c r="B274" s="39"/>
      <c r="C274" s="12" t="s">
        <v>304</v>
      </c>
      <c r="D274" s="40"/>
    </row>
    <row r="275" spans="1:4" ht="27.75" customHeight="1" x14ac:dyDescent="0.35">
      <c r="A275" s="41" t="s">
        <v>42</v>
      </c>
      <c r="B275" s="41"/>
      <c r="C275" s="13" t="s">
        <v>305</v>
      </c>
      <c r="D275" s="40"/>
    </row>
    <row r="276" spans="1:4" ht="27.75" customHeight="1" x14ac:dyDescent="0.35">
      <c r="A276" s="42" t="s">
        <v>44</v>
      </c>
      <c r="B276" s="42"/>
      <c r="C276" s="14" t="s">
        <v>306</v>
      </c>
      <c r="D276" s="40"/>
    </row>
    <row r="277" spans="1:4" ht="27.75" customHeight="1" x14ac:dyDescent="0.35">
      <c r="A277" s="43" t="s">
        <v>46</v>
      </c>
      <c r="B277" s="43"/>
      <c r="C277" s="15" t="s">
        <v>307</v>
      </c>
      <c r="D277" s="40"/>
    </row>
    <row r="278" spans="1:4" ht="4.5" customHeight="1" x14ac:dyDescent="0.35"/>
    <row r="279" spans="1:4" ht="27.75" customHeight="1" x14ac:dyDescent="0.35">
      <c r="A279" s="38" t="s">
        <v>308</v>
      </c>
      <c r="B279" s="38"/>
      <c r="C279" s="10" t="s">
        <v>309</v>
      </c>
      <c r="D279" s="11" t="s">
        <v>39</v>
      </c>
    </row>
    <row r="280" spans="1:4" ht="27.75" customHeight="1" x14ac:dyDescent="0.35">
      <c r="A280" s="39" t="s">
        <v>40</v>
      </c>
      <c r="B280" s="39"/>
      <c r="C280" s="12" t="s">
        <v>310</v>
      </c>
      <c r="D280" s="40"/>
    </row>
    <row r="281" spans="1:4" ht="27.75" customHeight="1" x14ac:dyDescent="0.35">
      <c r="A281" s="41" t="s">
        <v>42</v>
      </c>
      <c r="B281" s="41"/>
      <c r="C281" s="13" t="s">
        <v>311</v>
      </c>
      <c r="D281" s="40"/>
    </row>
    <row r="282" spans="1:4" ht="27.75" customHeight="1" x14ac:dyDescent="0.35">
      <c r="A282" s="42" t="s">
        <v>44</v>
      </c>
      <c r="B282" s="42"/>
      <c r="C282" s="14" t="s">
        <v>312</v>
      </c>
      <c r="D282" s="40"/>
    </row>
    <row r="283" spans="1:4" ht="27.75" customHeight="1" x14ac:dyDescent="0.35">
      <c r="A283" s="43" t="s">
        <v>46</v>
      </c>
      <c r="B283" s="43"/>
      <c r="C283" s="15" t="s">
        <v>313</v>
      </c>
      <c r="D283" s="40"/>
    </row>
    <row r="284" spans="1:4" ht="4.5" customHeight="1" x14ac:dyDescent="0.35"/>
    <row r="285" spans="1:4" ht="27.75" customHeight="1" x14ac:dyDescent="0.35">
      <c r="A285" s="38" t="s">
        <v>314</v>
      </c>
      <c r="B285" s="38"/>
      <c r="C285" s="10" t="s">
        <v>315</v>
      </c>
      <c r="D285" s="11" t="s">
        <v>39</v>
      </c>
    </row>
    <row r="286" spans="1:4" ht="27.75" customHeight="1" x14ac:dyDescent="0.35">
      <c r="A286" s="39" t="s">
        <v>40</v>
      </c>
      <c r="B286" s="39"/>
      <c r="C286" s="12" t="s">
        <v>316</v>
      </c>
      <c r="D286" s="40"/>
    </row>
    <row r="287" spans="1:4" ht="27.75" customHeight="1" x14ac:dyDescent="0.35">
      <c r="A287" s="41" t="s">
        <v>42</v>
      </c>
      <c r="B287" s="41"/>
      <c r="C287" s="13" t="s">
        <v>317</v>
      </c>
      <c r="D287" s="40"/>
    </row>
    <row r="288" spans="1:4" ht="27.75" customHeight="1" x14ac:dyDescent="0.35">
      <c r="A288" s="42" t="s">
        <v>44</v>
      </c>
      <c r="B288" s="42"/>
      <c r="C288" s="14" t="s">
        <v>318</v>
      </c>
      <c r="D288" s="40"/>
    </row>
    <row r="289" spans="1:4" ht="27.75" customHeight="1" x14ac:dyDescent="0.35">
      <c r="A289" s="43" t="s">
        <v>46</v>
      </c>
      <c r="B289" s="43"/>
      <c r="C289" s="15" t="s">
        <v>319</v>
      </c>
      <c r="D289" s="40"/>
    </row>
    <row r="290" spans="1:4" ht="4.5" customHeight="1" x14ac:dyDescent="0.35"/>
    <row r="291" spans="1:4" ht="27.75" customHeight="1" x14ac:dyDescent="0.35">
      <c r="A291" s="38" t="s">
        <v>320</v>
      </c>
      <c r="B291" s="38"/>
      <c r="C291" s="10" t="s">
        <v>321</v>
      </c>
      <c r="D291" s="11" t="s">
        <v>39</v>
      </c>
    </row>
    <row r="292" spans="1:4" ht="27.75" customHeight="1" x14ac:dyDescent="0.35">
      <c r="A292" s="39" t="s">
        <v>40</v>
      </c>
      <c r="B292" s="39"/>
      <c r="C292" s="12" t="s">
        <v>322</v>
      </c>
      <c r="D292" s="40"/>
    </row>
    <row r="293" spans="1:4" ht="27.75" customHeight="1" x14ac:dyDescent="0.35">
      <c r="A293" s="41" t="s">
        <v>42</v>
      </c>
      <c r="B293" s="41"/>
      <c r="C293" s="13" t="s">
        <v>323</v>
      </c>
      <c r="D293" s="40"/>
    </row>
    <row r="294" spans="1:4" ht="27.75" customHeight="1" x14ac:dyDescent="0.35">
      <c r="A294" s="42" t="s">
        <v>44</v>
      </c>
      <c r="B294" s="42"/>
      <c r="C294" s="14" t="s">
        <v>324</v>
      </c>
      <c r="D294" s="40"/>
    </row>
    <row r="295" spans="1:4" ht="27.75" customHeight="1" x14ac:dyDescent="0.35">
      <c r="A295" s="43" t="s">
        <v>46</v>
      </c>
      <c r="B295" s="43"/>
      <c r="C295" s="15" t="s">
        <v>325</v>
      </c>
      <c r="D295" s="40"/>
    </row>
    <row r="296" spans="1:4" ht="4.5" customHeight="1" x14ac:dyDescent="0.35"/>
    <row r="297" spans="1:4" ht="27.75" customHeight="1" x14ac:dyDescent="0.35">
      <c r="A297" s="38" t="s">
        <v>326</v>
      </c>
      <c r="B297" s="38"/>
      <c r="C297" s="10" t="s">
        <v>327</v>
      </c>
      <c r="D297" s="11" t="s">
        <v>39</v>
      </c>
    </row>
    <row r="298" spans="1:4" ht="27.75" customHeight="1" x14ac:dyDescent="0.35">
      <c r="A298" s="39" t="s">
        <v>40</v>
      </c>
      <c r="B298" s="39"/>
      <c r="C298" s="12" t="s">
        <v>328</v>
      </c>
      <c r="D298" s="40"/>
    </row>
    <row r="299" spans="1:4" ht="27.75" customHeight="1" x14ac:dyDescent="0.35">
      <c r="A299" s="41" t="s">
        <v>42</v>
      </c>
      <c r="B299" s="41"/>
      <c r="C299" s="13" t="s">
        <v>329</v>
      </c>
      <c r="D299" s="40"/>
    </row>
    <row r="300" spans="1:4" ht="27.75" customHeight="1" x14ac:dyDescent="0.35">
      <c r="A300" s="42" t="s">
        <v>44</v>
      </c>
      <c r="B300" s="42"/>
      <c r="C300" s="14" t="s">
        <v>330</v>
      </c>
      <c r="D300" s="40"/>
    </row>
    <row r="301" spans="1:4" ht="27.75" customHeight="1" x14ac:dyDescent="0.35">
      <c r="A301" s="43" t="s">
        <v>46</v>
      </c>
      <c r="B301" s="43"/>
      <c r="C301" s="15" t="s">
        <v>331</v>
      </c>
      <c r="D301" s="40"/>
    </row>
    <row r="302" spans="1:4" ht="4.5" customHeight="1" x14ac:dyDescent="0.35"/>
    <row r="303" spans="1:4" ht="6" customHeight="1" x14ac:dyDescent="0.35"/>
    <row r="304" spans="1:4" ht="24" customHeight="1" x14ac:dyDescent="0.35">
      <c r="A304" s="48" t="s">
        <v>332</v>
      </c>
      <c r="B304" s="48"/>
      <c r="C304" s="48"/>
      <c r="D304" s="48"/>
    </row>
    <row r="305" spans="1:4" ht="3.75" customHeight="1" x14ac:dyDescent="0.35"/>
    <row r="306" spans="1:4" ht="27.75" customHeight="1" x14ac:dyDescent="0.35">
      <c r="A306" s="38" t="s">
        <v>333</v>
      </c>
      <c r="B306" s="38"/>
      <c r="C306" s="10" t="s">
        <v>334</v>
      </c>
      <c r="D306" s="11" t="s">
        <v>39</v>
      </c>
    </row>
    <row r="307" spans="1:4" ht="27.75" customHeight="1" x14ac:dyDescent="0.35">
      <c r="A307" s="39" t="s">
        <v>40</v>
      </c>
      <c r="B307" s="39"/>
      <c r="C307" s="12" t="s">
        <v>335</v>
      </c>
      <c r="D307" s="40"/>
    </row>
    <row r="308" spans="1:4" ht="27.75" customHeight="1" x14ac:dyDescent="0.35">
      <c r="A308" s="41" t="s">
        <v>42</v>
      </c>
      <c r="B308" s="41"/>
      <c r="C308" s="13" t="s">
        <v>336</v>
      </c>
      <c r="D308" s="40"/>
    </row>
    <row r="309" spans="1:4" ht="27.75" customHeight="1" x14ac:dyDescent="0.35">
      <c r="A309" s="42" t="s">
        <v>44</v>
      </c>
      <c r="B309" s="42"/>
      <c r="C309" s="14" t="s">
        <v>337</v>
      </c>
      <c r="D309" s="40"/>
    </row>
    <row r="310" spans="1:4" ht="27.75" customHeight="1" x14ac:dyDescent="0.35">
      <c r="A310" s="43" t="s">
        <v>46</v>
      </c>
      <c r="B310" s="43"/>
      <c r="C310" s="15" t="s">
        <v>338</v>
      </c>
      <c r="D310" s="40"/>
    </row>
    <row r="311" spans="1:4" ht="4.5" customHeight="1" x14ac:dyDescent="0.35"/>
    <row r="312" spans="1:4" ht="27.75" customHeight="1" x14ac:dyDescent="0.35">
      <c r="A312" s="38" t="s">
        <v>339</v>
      </c>
      <c r="B312" s="38"/>
      <c r="C312" s="10" t="s">
        <v>340</v>
      </c>
      <c r="D312" s="11" t="s">
        <v>39</v>
      </c>
    </row>
    <row r="313" spans="1:4" ht="27.75" customHeight="1" x14ac:dyDescent="0.35">
      <c r="A313" s="39" t="s">
        <v>40</v>
      </c>
      <c r="B313" s="39"/>
      <c r="C313" s="12" t="s">
        <v>341</v>
      </c>
      <c r="D313" s="40"/>
    </row>
    <row r="314" spans="1:4" ht="27.75" customHeight="1" x14ac:dyDescent="0.35">
      <c r="A314" s="41" t="s">
        <v>42</v>
      </c>
      <c r="B314" s="41"/>
      <c r="C314" s="13" t="s">
        <v>342</v>
      </c>
      <c r="D314" s="40"/>
    </row>
    <row r="315" spans="1:4" ht="27.75" customHeight="1" x14ac:dyDescent="0.35">
      <c r="A315" s="42" t="s">
        <v>44</v>
      </c>
      <c r="B315" s="42"/>
      <c r="C315" s="14" t="s">
        <v>343</v>
      </c>
      <c r="D315" s="40"/>
    </row>
    <row r="316" spans="1:4" ht="27.75" customHeight="1" x14ac:dyDescent="0.35">
      <c r="A316" s="43" t="s">
        <v>46</v>
      </c>
      <c r="B316" s="43"/>
      <c r="C316" s="15" t="s">
        <v>344</v>
      </c>
      <c r="D316" s="40"/>
    </row>
    <row r="317" spans="1:4" ht="4.5" customHeight="1" x14ac:dyDescent="0.35"/>
    <row r="318" spans="1:4" ht="27.75" customHeight="1" x14ac:dyDescent="0.35">
      <c r="A318" s="38" t="s">
        <v>345</v>
      </c>
      <c r="B318" s="38"/>
      <c r="C318" s="10" t="s">
        <v>346</v>
      </c>
      <c r="D318" s="11" t="s">
        <v>39</v>
      </c>
    </row>
    <row r="319" spans="1:4" ht="27.75" customHeight="1" x14ac:dyDescent="0.35">
      <c r="A319" s="39" t="s">
        <v>40</v>
      </c>
      <c r="B319" s="39"/>
      <c r="C319" s="12" t="s">
        <v>347</v>
      </c>
      <c r="D319" s="40"/>
    </row>
    <row r="320" spans="1:4" ht="27.75" customHeight="1" x14ac:dyDescent="0.35">
      <c r="A320" s="41" t="s">
        <v>42</v>
      </c>
      <c r="B320" s="41"/>
      <c r="C320" s="13" t="s">
        <v>348</v>
      </c>
      <c r="D320" s="40"/>
    </row>
    <row r="321" spans="1:4" ht="27.75" customHeight="1" x14ac:dyDescent="0.35">
      <c r="A321" s="42" t="s">
        <v>44</v>
      </c>
      <c r="B321" s="42"/>
      <c r="C321" s="14" t="s">
        <v>349</v>
      </c>
      <c r="D321" s="40"/>
    </row>
    <row r="322" spans="1:4" ht="27.75" customHeight="1" x14ac:dyDescent="0.35">
      <c r="A322" s="43" t="s">
        <v>46</v>
      </c>
      <c r="B322" s="43"/>
      <c r="C322" s="15" t="s">
        <v>350</v>
      </c>
      <c r="D322" s="40"/>
    </row>
    <row r="323" spans="1:4" ht="4.5" customHeight="1" x14ac:dyDescent="0.35"/>
    <row r="324" spans="1:4" ht="27.75" customHeight="1" x14ac:dyDescent="0.35">
      <c r="A324" s="38" t="s">
        <v>351</v>
      </c>
      <c r="B324" s="38"/>
      <c r="C324" s="10" t="s">
        <v>352</v>
      </c>
      <c r="D324" s="11" t="s">
        <v>39</v>
      </c>
    </row>
    <row r="325" spans="1:4" ht="27.75" customHeight="1" x14ac:dyDescent="0.35">
      <c r="A325" s="39" t="s">
        <v>40</v>
      </c>
      <c r="B325" s="39"/>
      <c r="C325" s="12" t="s">
        <v>353</v>
      </c>
      <c r="D325" s="40"/>
    </row>
    <row r="326" spans="1:4" ht="27.75" customHeight="1" x14ac:dyDescent="0.35">
      <c r="A326" s="41" t="s">
        <v>42</v>
      </c>
      <c r="B326" s="41"/>
      <c r="C326" s="13" t="s">
        <v>354</v>
      </c>
      <c r="D326" s="40"/>
    </row>
    <row r="327" spans="1:4" ht="27.75" customHeight="1" x14ac:dyDescent="0.35">
      <c r="A327" s="42" t="s">
        <v>44</v>
      </c>
      <c r="B327" s="42"/>
      <c r="C327" s="14" t="s">
        <v>355</v>
      </c>
      <c r="D327" s="40"/>
    </row>
    <row r="328" spans="1:4" ht="27.75" customHeight="1" x14ac:dyDescent="0.35">
      <c r="A328" s="43" t="s">
        <v>46</v>
      </c>
      <c r="B328" s="43"/>
      <c r="C328" s="15" t="s">
        <v>356</v>
      </c>
      <c r="D328" s="40"/>
    </row>
    <row r="329" spans="1:4" ht="4.5" customHeight="1" x14ac:dyDescent="0.35"/>
    <row r="330" spans="1:4" ht="27.75" customHeight="1" x14ac:dyDescent="0.35">
      <c r="A330" s="38" t="s">
        <v>357</v>
      </c>
      <c r="B330" s="38"/>
      <c r="C330" s="10" t="s">
        <v>358</v>
      </c>
      <c r="D330" s="11" t="s">
        <v>39</v>
      </c>
    </row>
    <row r="331" spans="1:4" ht="27.75" customHeight="1" x14ac:dyDescent="0.35">
      <c r="A331" s="39" t="s">
        <v>40</v>
      </c>
      <c r="B331" s="39"/>
      <c r="C331" s="12" t="s">
        <v>359</v>
      </c>
      <c r="D331" s="40"/>
    </row>
    <row r="332" spans="1:4" ht="27.75" customHeight="1" x14ac:dyDescent="0.35">
      <c r="A332" s="41" t="s">
        <v>42</v>
      </c>
      <c r="B332" s="41"/>
      <c r="C332" s="13" t="s">
        <v>360</v>
      </c>
      <c r="D332" s="40"/>
    </row>
    <row r="333" spans="1:4" ht="27.75" customHeight="1" x14ac:dyDescent="0.35">
      <c r="A333" s="42" t="s">
        <v>44</v>
      </c>
      <c r="B333" s="42"/>
      <c r="C333" s="14" t="s">
        <v>361</v>
      </c>
      <c r="D333" s="40"/>
    </row>
    <row r="334" spans="1:4" ht="27.75" customHeight="1" x14ac:dyDescent="0.35">
      <c r="A334" s="43" t="s">
        <v>46</v>
      </c>
      <c r="B334" s="43"/>
      <c r="C334" s="15" t="s">
        <v>362</v>
      </c>
      <c r="D334" s="40"/>
    </row>
    <row r="335" spans="1:4" ht="4.5" customHeight="1" x14ac:dyDescent="0.35"/>
    <row r="336" spans="1:4" ht="27.75" customHeight="1" x14ac:dyDescent="0.35">
      <c r="A336" s="38" t="s">
        <v>363</v>
      </c>
      <c r="B336" s="38"/>
      <c r="C336" s="10" t="s">
        <v>364</v>
      </c>
      <c r="D336" s="11" t="s">
        <v>39</v>
      </c>
    </row>
    <row r="337" spans="1:4" ht="27.75" customHeight="1" x14ac:dyDescent="0.35">
      <c r="A337" s="39" t="s">
        <v>40</v>
      </c>
      <c r="B337" s="39"/>
      <c r="C337" s="12" t="s">
        <v>365</v>
      </c>
      <c r="D337" s="40"/>
    </row>
    <row r="338" spans="1:4" ht="27.75" customHeight="1" x14ac:dyDescent="0.35">
      <c r="A338" s="41" t="s">
        <v>42</v>
      </c>
      <c r="B338" s="41"/>
      <c r="C338" s="13" t="s">
        <v>366</v>
      </c>
      <c r="D338" s="40"/>
    </row>
    <row r="339" spans="1:4" ht="27.75" customHeight="1" x14ac:dyDescent="0.35">
      <c r="A339" s="42" t="s">
        <v>44</v>
      </c>
      <c r="B339" s="42"/>
      <c r="C339" s="14" t="s">
        <v>367</v>
      </c>
      <c r="D339" s="40"/>
    </row>
    <row r="340" spans="1:4" ht="27.75" customHeight="1" x14ac:dyDescent="0.35">
      <c r="A340" s="43" t="s">
        <v>46</v>
      </c>
      <c r="B340" s="43"/>
      <c r="C340" s="15" t="s">
        <v>368</v>
      </c>
      <c r="D340" s="40"/>
    </row>
    <row r="341" spans="1:4" ht="4.5" customHeight="1" x14ac:dyDescent="0.35"/>
    <row r="342" spans="1:4" ht="27.75" customHeight="1" x14ac:dyDescent="0.35">
      <c r="A342" s="38" t="s">
        <v>369</v>
      </c>
      <c r="B342" s="38"/>
      <c r="C342" s="10" t="s">
        <v>370</v>
      </c>
      <c r="D342" s="11" t="s">
        <v>39</v>
      </c>
    </row>
    <row r="343" spans="1:4" ht="27.75" customHeight="1" x14ac:dyDescent="0.35">
      <c r="A343" s="39" t="s">
        <v>40</v>
      </c>
      <c r="B343" s="39"/>
      <c r="C343" s="12" t="s">
        <v>371</v>
      </c>
      <c r="D343" s="40"/>
    </row>
    <row r="344" spans="1:4" ht="27.75" customHeight="1" x14ac:dyDescent="0.35">
      <c r="A344" s="41" t="s">
        <v>42</v>
      </c>
      <c r="B344" s="41"/>
      <c r="C344" s="13" t="s">
        <v>372</v>
      </c>
      <c r="D344" s="40"/>
    </row>
    <row r="345" spans="1:4" ht="27.75" customHeight="1" x14ac:dyDescent="0.35">
      <c r="A345" s="42" t="s">
        <v>44</v>
      </c>
      <c r="B345" s="42"/>
      <c r="C345" s="14" t="s">
        <v>373</v>
      </c>
      <c r="D345" s="40"/>
    </row>
    <row r="346" spans="1:4" ht="27.75" customHeight="1" x14ac:dyDescent="0.35">
      <c r="A346" s="43" t="s">
        <v>46</v>
      </c>
      <c r="B346" s="43"/>
      <c r="C346" s="15" t="s">
        <v>374</v>
      </c>
      <c r="D346" s="40"/>
    </row>
    <row r="347" spans="1:4" ht="4.5" customHeight="1" x14ac:dyDescent="0.35"/>
    <row r="348" spans="1:4" ht="27.75" customHeight="1" x14ac:dyDescent="0.35">
      <c r="A348" s="38" t="s">
        <v>375</v>
      </c>
      <c r="B348" s="38"/>
      <c r="C348" s="10" t="s">
        <v>376</v>
      </c>
      <c r="D348" s="11" t="s">
        <v>39</v>
      </c>
    </row>
    <row r="349" spans="1:4" ht="27.75" customHeight="1" x14ac:dyDescent="0.35">
      <c r="A349" s="39" t="s">
        <v>40</v>
      </c>
      <c r="B349" s="39"/>
      <c r="C349" s="12" t="s">
        <v>377</v>
      </c>
      <c r="D349" s="40"/>
    </row>
    <row r="350" spans="1:4" ht="27.75" customHeight="1" x14ac:dyDescent="0.35">
      <c r="A350" s="41" t="s">
        <v>42</v>
      </c>
      <c r="B350" s="41"/>
      <c r="C350" s="13" t="s">
        <v>378</v>
      </c>
      <c r="D350" s="40"/>
    </row>
    <row r="351" spans="1:4" ht="27.75" customHeight="1" x14ac:dyDescent="0.35">
      <c r="A351" s="42" t="s">
        <v>44</v>
      </c>
      <c r="B351" s="42"/>
      <c r="C351" s="14" t="s">
        <v>379</v>
      </c>
      <c r="D351" s="40"/>
    </row>
    <row r="352" spans="1:4" ht="27.75" customHeight="1" x14ac:dyDescent="0.35">
      <c r="A352" s="43" t="s">
        <v>46</v>
      </c>
      <c r="B352" s="43"/>
      <c r="C352" s="15" t="s">
        <v>380</v>
      </c>
      <c r="D352" s="40"/>
    </row>
    <row r="353" spans="1:4" ht="4.5" customHeight="1" x14ac:dyDescent="0.35"/>
    <row r="354" spans="1:4" ht="27.75" customHeight="1" x14ac:dyDescent="0.35">
      <c r="A354" s="38" t="s">
        <v>381</v>
      </c>
      <c r="B354" s="38"/>
      <c r="C354" s="10" t="s">
        <v>382</v>
      </c>
      <c r="D354" s="11" t="s">
        <v>39</v>
      </c>
    </row>
    <row r="355" spans="1:4" ht="27.75" customHeight="1" x14ac:dyDescent="0.35">
      <c r="A355" s="39" t="s">
        <v>40</v>
      </c>
      <c r="B355" s="39"/>
      <c r="C355" s="12" t="s">
        <v>383</v>
      </c>
      <c r="D355" s="40"/>
    </row>
    <row r="356" spans="1:4" ht="27.75" customHeight="1" x14ac:dyDescent="0.35">
      <c r="A356" s="41" t="s">
        <v>42</v>
      </c>
      <c r="B356" s="41"/>
      <c r="C356" s="13" t="s">
        <v>384</v>
      </c>
      <c r="D356" s="40"/>
    </row>
    <row r="357" spans="1:4" ht="27.75" customHeight="1" x14ac:dyDescent="0.35">
      <c r="A357" s="42" t="s">
        <v>44</v>
      </c>
      <c r="B357" s="42"/>
      <c r="C357" s="14" t="s">
        <v>385</v>
      </c>
      <c r="D357" s="40"/>
    </row>
    <row r="358" spans="1:4" ht="27.75" customHeight="1" x14ac:dyDescent="0.35">
      <c r="A358" s="43" t="s">
        <v>46</v>
      </c>
      <c r="B358" s="43"/>
      <c r="C358" s="15" t="s">
        <v>386</v>
      </c>
      <c r="D358" s="40"/>
    </row>
    <row r="359" spans="1:4" ht="4.5" customHeight="1" x14ac:dyDescent="0.35"/>
    <row r="360" spans="1:4" ht="27.75" customHeight="1" x14ac:dyDescent="0.35">
      <c r="A360" s="38" t="s">
        <v>387</v>
      </c>
      <c r="B360" s="38"/>
      <c r="C360" s="10" t="s">
        <v>388</v>
      </c>
      <c r="D360" s="11" t="s">
        <v>39</v>
      </c>
    </row>
    <row r="361" spans="1:4" ht="27.75" customHeight="1" x14ac:dyDescent="0.35">
      <c r="A361" s="39" t="s">
        <v>40</v>
      </c>
      <c r="B361" s="39"/>
      <c r="C361" s="12" t="s">
        <v>389</v>
      </c>
      <c r="D361" s="40"/>
    </row>
    <row r="362" spans="1:4" ht="27.75" customHeight="1" x14ac:dyDescent="0.35">
      <c r="A362" s="41" t="s">
        <v>42</v>
      </c>
      <c r="B362" s="41"/>
      <c r="C362" s="13" t="s">
        <v>390</v>
      </c>
      <c r="D362" s="40"/>
    </row>
    <row r="363" spans="1:4" ht="27.75" customHeight="1" x14ac:dyDescent="0.35">
      <c r="A363" s="42" t="s">
        <v>44</v>
      </c>
      <c r="B363" s="42"/>
      <c r="C363" s="14" t="s">
        <v>391</v>
      </c>
      <c r="D363" s="40"/>
    </row>
    <row r="364" spans="1:4" ht="27.75" customHeight="1" x14ac:dyDescent="0.35">
      <c r="A364" s="43" t="s">
        <v>46</v>
      </c>
      <c r="B364" s="43"/>
      <c r="C364" s="15" t="s">
        <v>392</v>
      </c>
      <c r="D364" s="40"/>
    </row>
    <row r="365" spans="1:4" ht="4.5" customHeight="1" x14ac:dyDescent="0.35"/>
    <row r="366" spans="1:4" ht="27.75" customHeight="1" x14ac:dyDescent="0.35">
      <c r="A366" s="38" t="s">
        <v>393</v>
      </c>
      <c r="B366" s="38"/>
      <c r="C366" s="10" t="s">
        <v>394</v>
      </c>
      <c r="D366" s="11" t="s">
        <v>39</v>
      </c>
    </row>
    <row r="367" spans="1:4" ht="27.75" customHeight="1" x14ac:dyDescent="0.35">
      <c r="A367" s="39" t="s">
        <v>40</v>
      </c>
      <c r="B367" s="39"/>
      <c r="C367" s="12" t="s">
        <v>395</v>
      </c>
      <c r="D367" s="40"/>
    </row>
    <row r="368" spans="1:4" ht="27.75" customHeight="1" x14ac:dyDescent="0.35">
      <c r="A368" s="41" t="s">
        <v>42</v>
      </c>
      <c r="B368" s="41"/>
      <c r="C368" s="13" t="s">
        <v>396</v>
      </c>
      <c r="D368" s="40"/>
    </row>
    <row r="369" spans="1:4" ht="27.75" customHeight="1" x14ac:dyDescent="0.35">
      <c r="A369" s="42" t="s">
        <v>44</v>
      </c>
      <c r="B369" s="42"/>
      <c r="C369" s="14" t="s">
        <v>397</v>
      </c>
      <c r="D369" s="40"/>
    </row>
    <row r="370" spans="1:4" ht="27.75" customHeight="1" x14ac:dyDescent="0.35">
      <c r="A370" s="43" t="s">
        <v>46</v>
      </c>
      <c r="B370" s="43"/>
      <c r="C370" s="15" t="s">
        <v>398</v>
      </c>
      <c r="D370" s="40"/>
    </row>
    <row r="371" spans="1:4" ht="4.5" customHeight="1" x14ac:dyDescent="0.35"/>
    <row r="372" spans="1:4" ht="27.75" customHeight="1" x14ac:dyDescent="0.35">
      <c r="A372" s="38" t="s">
        <v>399</v>
      </c>
      <c r="B372" s="38"/>
      <c r="C372" s="10" t="s">
        <v>400</v>
      </c>
      <c r="D372" s="11" t="s">
        <v>39</v>
      </c>
    </row>
    <row r="373" spans="1:4" ht="27.75" customHeight="1" x14ac:dyDescent="0.35">
      <c r="A373" s="39" t="s">
        <v>40</v>
      </c>
      <c r="B373" s="39"/>
      <c r="C373" s="12" t="s">
        <v>401</v>
      </c>
      <c r="D373" s="40"/>
    </row>
    <row r="374" spans="1:4" ht="27.75" customHeight="1" x14ac:dyDescent="0.35">
      <c r="A374" s="41" t="s">
        <v>42</v>
      </c>
      <c r="B374" s="41"/>
      <c r="C374" s="13" t="s">
        <v>402</v>
      </c>
      <c r="D374" s="40"/>
    </row>
    <row r="375" spans="1:4" ht="27.75" customHeight="1" x14ac:dyDescent="0.35">
      <c r="A375" s="42" t="s">
        <v>44</v>
      </c>
      <c r="B375" s="42"/>
      <c r="C375" s="14" t="s">
        <v>403</v>
      </c>
      <c r="D375" s="40"/>
    </row>
    <row r="376" spans="1:4" ht="27.75" customHeight="1" x14ac:dyDescent="0.35">
      <c r="A376" s="43" t="s">
        <v>46</v>
      </c>
      <c r="B376" s="43"/>
      <c r="C376" s="15" t="s">
        <v>404</v>
      </c>
      <c r="D376" s="40"/>
    </row>
    <row r="377" spans="1:4" ht="4.5" customHeight="1" x14ac:dyDescent="0.35"/>
    <row r="378" spans="1:4" ht="27.75" customHeight="1" x14ac:dyDescent="0.35">
      <c r="A378" s="38" t="s">
        <v>405</v>
      </c>
      <c r="B378" s="38"/>
      <c r="C378" s="10" t="s">
        <v>406</v>
      </c>
      <c r="D378" s="11" t="s">
        <v>39</v>
      </c>
    </row>
    <row r="379" spans="1:4" ht="27.75" customHeight="1" x14ac:dyDescent="0.35">
      <c r="A379" s="39" t="s">
        <v>40</v>
      </c>
      <c r="B379" s="39"/>
      <c r="C379" s="12" t="s">
        <v>407</v>
      </c>
      <c r="D379" s="40"/>
    </row>
    <row r="380" spans="1:4" ht="27.75" customHeight="1" x14ac:dyDescent="0.35">
      <c r="A380" s="41" t="s">
        <v>42</v>
      </c>
      <c r="B380" s="41"/>
      <c r="C380" s="13" t="s">
        <v>408</v>
      </c>
      <c r="D380" s="40"/>
    </row>
    <row r="381" spans="1:4" ht="27.75" customHeight="1" x14ac:dyDescent="0.35">
      <c r="A381" s="42" t="s">
        <v>44</v>
      </c>
      <c r="B381" s="42"/>
      <c r="C381" s="14" t="s">
        <v>409</v>
      </c>
      <c r="D381" s="40"/>
    </row>
    <row r="382" spans="1:4" ht="27.75" customHeight="1" x14ac:dyDescent="0.35">
      <c r="A382" s="43" t="s">
        <v>46</v>
      </c>
      <c r="B382" s="43"/>
      <c r="C382" s="15" t="s">
        <v>410</v>
      </c>
      <c r="D382" s="40"/>
    </row>
    <row r="383" spans="1:4" ht="4.5" customHeight="1" x14ac:dyDescent="0.35"/>
    <row r="384" spans="1:4" ht="27.75" customHeight="1" x14ac:dyDescent="0.35">
      <c r="A384" s="38" t="s">
        <v>411</v>
      </c>
      <c r="B384" s="38"/>
      <c r="C384" s="10" t="s">
        <v>412</v>
      </c>
      <c r="D384" s="11" t="s">
        <v>39</v>
      </c>
    </row>
    <row r="385" spans="1:4" ht="27.75" customHeight="1" x14ac:dyDescent="0.35">
      <c r="A385" s="39" t="s">
        <v>40</v>
      </c>
      <c r="B385" s="39"/>
      <c r="C385" s="12" t="s">
        <v>413</v>
      </c>
      <c r="D385" s="40"/>
    </row>
    <row r="386" spans="1:4" ht="27.75" customHeight="1" x14ac:dyDescent="0.35">
      <c r="A386" s="41" t="s">
        <v>42</v>
      </c>
      <c r="B386" s="41"/>
      <c r="C386" s="13" t="s">
        <v>414</v>
      </c>
      <c r="D386" s="40"/>
    </row>
    <row r="387" spans="1:4" ht="27.75" customHeight="1" x14ac:dyDescent="0.35">
      <c r="A387" s="42" t="s">
        <v>44</v>
      </c>
      <c r="B387" s="42"/>
      <c r="C387" s="14" t="s">
        <v>415</v>
      </c>
      <c r="D387" s="40"/>
    </row>
    <row r="388" spans="1:4" ht="27.75" customHeight="1" x14ac:dyDescent="0.35">
      <c r="A388" s="43" t="s">
        <v>46</v>
      </c>
      <c r="B388" s="43"/>
      <c r="C388" s="15" t="s">
        <v>416</v>
      </c>
      <c r="D388" s="40"/>
    </row>
    <row r="389" spans="1:4" ht="4.5" customHeight="1" x14ac:dyDescent="0.35"/>
    <row r="390" spans="1:4" ht="27.75" customHeight="1" x14ac:dyDescent="0.35">
      <c r="A390" s="38" t="s">
        <v>417</v>
      </c>
      <c r="B390" s="38"/>
      <c r="C390" s="10" t="s">
        <v>418</v>
      </c>
      <c r="D390" s="11" t="s">
        <v>39</v>
      </c>
    </row>
    <row r="391" spans="1:4" ht="27.75" customHeight="1" x14ac:dyDescent="0.35">
      <c r="A391" s="39" t="s">
        <v>40</v>
      </c>
      <c r="B391" s="39"/>
      <c r="C391" s="12" t="s">
        <v>419</v>
      </c>
      <c r="D391" s="40"/>
    </row>
    <row r="392" spans="1:4" ht="27.75" customHeight="1" x14ac:dyDescent="0.35">
      <c r="A392" s="41" t="s">
        <v>42</v>
      </c>
      <c r="B392" s="41"/>
      <c r="C392" s="13" t="s">
        <v>420</v>
      </c>
      <c r="D392" s="40"/>
    </row>
    <row r="393" spans="1:4" ht="27.75" customHeight="1" x14ac:dyDescent="0.35">
      <c r="A393" s="42" t="s">
        <v>44</v>
      </c>
      <c r="B393" s="42"/>
      <c r="C393" s="14" t="s">
        <v>421</v>
      </c>
      <c r="D393" s="40"/>
    </row>
    <row r="394" spans="1:4" ht="27.75" customHeight="1" x14ac:dyDescent="0.35">
      <c r="A394" s="43" t="s">
        <v>46</v>
      </c>
      <c r="B394" s="43"/>
      <c r="C394" s="15" t="s">
        <v>422</v>
      </c>
      <c r="D394" s="40"/>
    </row>
    <row r="395" spans="1:4" ht="4.5" customHeight="1" x14ac:dyDescent="0.35"/>
    <row r="396" spans="1:4" ht="6" customHeight="1" x14ac:dyDescent="0.35"/>
    <row r="397" spans="1:4" ht="24" customHeight="1" x14ac:dyDescent="0.35">
      <c r="A397" s="47" t="s">
        <v>423</v>
      </c>
      <c r="B397" s="47"/>
      <c r="C397" s="47"/>
      <c r="D397" s="47"/>
    </row>
    <row r="398" spans="1:4" ht="3.75" customHeight="1" x14ac:dyDescent="0.35"/>
    <row r="399" spans="1:4" ht="27.75" customHeight="1" x14ac:dyDescent="0.35">
      <c r="A399" s="38" t="s">
        <v>424</v>
      </c>
      <c r="B399" s="38"/>
      <c r="C399" s="10" t="s">
        <v>425</v>
      </c>
      <c r="D399" s="11" t="s">
        <v>39</v>
      </c>
    </row>
    <row r="400" spans="1:4" ht="27.75" customHeight="1" x14ac:dyDescent="0.35">
      <c r="A400" s="39" t="s">
        <v>40</v>
      </c>
      <c r="B400" s="39"/>
      <c r="C400" s="12" t="s">
        <v>426</v>
      </c>
      <c r="D400" s="40"/>
    </row>
    <row r="401" spans="1:4" ht="27.75" customHeight="1" x14ac:dyDescent="0.35">
      <c r="A401" s="41" t="s">
        <v>42</v>
      </c>
      <c r="B401" s="41"/>
      <c r="C401" s="13" t="s">
        <v>427</v>
      </c>
      <c r="D401" s="40"/>
    </row>
    <row r="402" spans="1:4" ht="27.75" customHeight="1" x14ac:dyDescent="0.35">
      <c r="A402" s="42" t="s">
        <v>44</v>
      </c>
      <c r="B402" s="42"/>
      <c r="C402" s="14" t="s">
        <v>428</v>
      </c>
      <c r="D402" s="40"/>
    </row>
    <row r="403" spans="1:4" ht="27.75" customHeight="1" x14ac:dyDescent="0.35">
      <c r="A403" s="43" t="s">
        <v>46</v>
      </c>
      <c r="B403" s="43"/>
      <c r="C403" s="15" t="s">
        <v>429</v>
      </c>
      <c r="D403" s="40"/>
    </row>
    <row r="404" spans="1:4" ht="4.5" customHeight="1" x14ac:dyDescent="0.35"/>
    <row r="405" spans="1:4" ht="27.75" customHeight="1" x14ac:dyDescent="0.35">
      <c r="A405" s="38" t="s">
        <v>430</v>
      </c>
      <c r="B405" s="38"/>
      <c r="C405" s="10" t="s">
        <v>431</v>
      </c>
      <c r="D405" s="11" t="s">
        <v>39</v>
      </c>
    </row>
    <row r="406" spans="1:4" ht="27.75" customHeight="1" x14ac:dyDescent="0.35">
      <c r="A406" s="39" t="s">
        <v>40</v>
      </c>
      <c r="B406" s="39"/>
      <c r="C406" s="12" t="s">
        <v>432</v>
      </c>
      <c r="D406" s="40"/>
    </row>
    <row r="407" spans="1:4" ht="27.75" customHeight="1" x14ac:dyDescent="0.35">
      <c r="A407" s="41" t="s">
        <v>42</v>
      </c>
      <c r="B407" s="41"/>
      <c r="C407" s="13" t="s">
        <v>433</v>
      </c>
      <c r="D407" s="40"/>
    </row>
    <row r="408" spans="1:4" ht="27.75" customHeight="1" x14ac:dyDescent="0.35">
      <c r="A408" s="42" t="s">
        <v>44</v>
      </c>
      <c r="B408" s="42"/>
      <c r="C408" s="14" t="s">
        <v>434</v>
      </c>
      <c r="D408" s="40"/>
    </row>
    <row r="409" spans="1:4" ht="27.75" customHeight="1" x14ac:dyDescent="0.35">
      <c r="A409" s="43" t="s">
        <v>46</v>
      </c>
      <c r="B409" s="43"/>
      <c r="C409" s="15" t="s">
        <v>435</v>
      </c>
      <c r="D409" s="40"/>
    </row>
    <row r="410" spans="1:4" ht="4.5" customHeight="1" x14ac:dyDescent="0.35"/>
    <row r="411" spans="1:4" ht="27.75" customHeight="1" x14ac:dyDescent="0.35">
      <c r="A411" s="38" t="s">
        <v>436</v>
      </c>
      <c r="B411" s="38"/>
      <c r="C411" s="10" t="s">
        <v>437</v>
      </c>
      <c r="D411" s="11" t="s">
        <v>39</v>
      </c>
    </row>
    <row r="412" spans="1:4" ht="27.75" customHeight="1" x14ac:dyDescent="0.35">
      <c r="A412" s="39" t="s">
        <v>40</v>
      </c>
      <c r="B412" s="39"/>
      <c r="C412" s="12" t="s">
        <v>438</v>
      </c>
      <c r="D412" s="40"/>
    </row>
    <row r="413" spans="1:4" ht="27.75" customHeight="1" x14ac:dyDescent="0.35">
      <c r="A413" s="41" t="s">
        <v>42</v>
      </c>
      <c r="B413" s="41"/>
      <c r="C413" s="13" t="s">
        <v>439</v>
      </c>
      <c r="D413" s="40"/>
    </row>
    <row r="414" spans="1:4" ht="27.75" customHeight="1" x14ac:dyDescent="0.35">
      <c r="A414" s="42" t="s">
        <v>44</v>
      </c>
      <c r="B414" s="42"/>
      <c r="C414" s="14" t="s">
        <v>440</v>
      </c>
      <c r="D414" s="40"/>
    </row>
    <row r="415" spans="1:4" ht="27.75" customHeight="1" x14ac:dyDescent="0.35">
      <c r="A415" s="43" t="s">
        <v>46</v>
      </c>
      <c r="B415" s="43"/>
      <c r="C415" s="15" t="s">
        <v>441</v>
      </c>
      <c r="D415" s="40"/>
    </row>
    <row r="416" spans="1:4" ht="4.5" customHeight="1" x14ac:dyDescent="0.35"/>
    <row r="417" spans="1:4" ht="27.75" customHeight="1" x14ac:dyDescent="0.35">
      <c r="A417" s="38" t="s">
        <v>442</v>
      </c>
      <c r="B417" s="38"/>
      <c r="C417" s="10" t="s">
        <v>443</v>
      </c>
      <c r="D417" s="11" t="s">
        <v>39</v>
      </c>
    </row>
    <row r="418" spans="1:4" ht="27.75" customHeight="1" x14ac:dyDescent="0.35">
      <c r="A418" s="39" t="s">
        <v>40</v>
      </c>
      <c r="B418" s="39"/>
      <c r="C418" s="12" t="s">
        <v>444</v>
      </c>
      <c r="D418" s="40"/>
    </row>
    <row r="419" spans="1:4" ht="27.75" customHeight="1" x14ac:dyDescent="0.35">
      <c r="A419" s="41" t="s">
        <v>42</v>
      </c>
      <c r="B419" s="41"/>
      <c r="C419" s="13" t="s">
        <v>445</v>
      </c>
      <c r="D419" s="40"/>
    </row>
    <row r="420" spans="1:4" ht="27.75" customHeight="1" x14ac:dyDescent="0.35">
      <c r="A420" s="42" t="s">
        <v>44</v>
      </c>
      <c r="B420" s="42"/>
      <c r="C420" s="14" t="s">
        <v>446</v>
      </c>
      <c r="D420" s="40"/>
    </row>
    <row r="421" spans="1:4" ht="27.75" customHeight="1" x14ac:dyDescent="0.35">
      <c r="A421" s="43" t="s">
        <v>46</v>
      </c>
      <c r="B421" s="43"/>
      <c r="C421" s="15" t="s">
        <v>447</v>
      </c>
      <c r="D421" s="40"/>
    </row>
    <row r="422" spans="1:4" ht="4.5" customHeight="1" x14ac:dyDescent="0.35"/>
    <row r="423" spans="1:4" ht="27.75" customHeight="1" x14ac:dyDescent="0.35">
      <c r="A423" s="38" t="s">
        <v>448</v>
      </c>
      <c r="B423" s="38"/>
      <c r="C423" s="10" t="s">
        <v>449</v>
      </c>
      <c r="D423" s="11" t="s">
        <v>39</v>
      </c>
    </row>
    <row r="424" spans="1:4" ht="27.75" customHeight="1" x14ac:dyDescent="0.35">
      <c r="A424" s="39" t="s">
        <v>40</v>
      </c>
      <c r="B424" s="39"/>
      <c r="C424" s="12" t="s">
        <v>450</v>
      </c>
      <c r="D424" s="40"/>
    </row>
    <row r="425" spans="1:4" ht="27.75" customHeight="1" x14ac:dyDescent="0.35">
      <c r="A425" s="41" t="s">
        <v>42</v>
      </c>
      <c r="B425" s="41"/>
      <c r="C425" s="13" t="s">
        <v>451</v>
      </c>
      <c r="D425" s="40"/>
    </row>
    <row r="426" spans="1:4" ht="27.75" customHeight="1" x14ac:dyDescent="0.35">
      <c r="A426" s="42" t="s">
        <v>44</v>
      </c>
      <c r="B426" s="42"/>
      <c r="C426" s="14" t="s">
        <v>452</v>
      </c>
      <c r="D426" s="40"/>
    </row>
    <row r="427" spans="1:4" ht="27.75" customHeight="1" x14ac:dyDescent="0.35">
      <c r="A427" s="43" t="s">
        <v>46</v>
      </c>
      <c r="B427" s="43"/>
      <c r="C427" s="15" t="s">
        <v>453</v>
      </c>
      <c r="D427" s="40"/>
    </row>
    <row r="428" spans="1:4" ht="4.5" customHeight="1" x14ac:dyDescent="0.35"/>
    <row r="429" spans="1:4" ht="27.75" customHeight="1" x14ac:dyDescent="0.35">
      <c r="A429" s="38" t="s">
        <v>454</v>
      </c>
      <c r="B429" s="38"/>
      <c r="C429" s="10" t="s">
        <v>455</v>
      </c>
      <c r="D429" s="11" t="s">
        <v>39</v>
      </c>
    </row>
    <row r="430" spans="1:4" ht="27.75" customHeight="1" x14ac:dyDescent="0.35">
      <c r="A430" s="39" t="s">
        <v>40</v>
      </c>
      <c r="B430" s="39"/>
      <c r="C430" s="12" t="s">
        <v>456</v>
      </c>
      <c r="D430" s="40"/>
    </row>
    <row r="431" spans="1:4" ht="27.75" customHeight="1" x14ac:dyDescent="0.35">
      <c r="A431" s="41" t="s">
        <v>42</v>
      </c>
      <c r="B431" s="41"/>
      <c r="C431" s="13" t="s">
        <v>457</v>
      </c>
      <c r="D431" s="40"/>
    </row>
    <row r="432" spans="1:4" ht="27.75" customHeight="1" x14ac:dyDescent="0.35">
      <c r="A432" s="42" t="s">
        <v>44</v>
      </c>
      <c r="B432" s="42"/>
      <c r="C432" s="14" t="s">
        <v>458</v>
      </c>
      <c r="D432" s="40"/>
    </row>
    <row r="433" spans="1:4" ht="27.75" customHeight="1" x14ac:dyDescent="0.35">
      <c r="A433" s="43" t="s">
        <v>46</v>
      </c>
      <c r="B433" s="43"/>
      <c r="C433" s="15" t="s">
        <v>459</v>
      </c>
      <c r="D433" s="40"/>
    </row>
    <row r="434" spans="1:4" ht="4.5" customHeight="1" x14ac:dyDescent="0.35"/>
    <row r="435" spans="1:4" ht="27.75" customHeight="1" x14ac:dyDescent="0.35">
      <c r="A435" s="38" t="s">
        <v>460</v>
      </c>
      <c r="B435" s="38"/>
      <c r="C435" s="10" t="s">
        <v>461</v>
      </c>
      <c r="D435" s="11" t="s">
        <v>39</v>
      </c>
    </row>
    <row r="436" spans="1:4" ht="27.75" customHeight="1" x14ac:dyDescent="0.35">
      <c r="A436" s="39" t="s">
        <v>40</v>
      </c>
      <c r="B436" s="39"/>
      <c r="C436" s="12" t="s">
        <v>462</v>
      </c>
      <c r="D436" s="40"/>
    </row>
    <row r="437" spans="1:4" ht="27.75" customHeight="1" x14ac:dyDescent="0.35">
      <c r="A437" s="41" t="s">
        <v>42</v>
      </c>
      <c r="B437" s="41"/>
      <c r="C437" s="13" t="s">
        <v>463</v>
      </c>
      <c r="D437" s="40"/>
    </row>
    <row r="438" spans="1:4" ht="27.75" customHeight="1" x14ac:dyDescent="0.35">
      <c r="A438" s="42" t="s">
        <v>44</v>
      </c>
      <c r="B438" s="42"/>
      <c r="C438" s="14" t="s">
        <v>464</v>
      </c>
      <c r="D438" s="40"/>
    </row>
    <row r="439" spans="1:4" ht="27.75" customHeight="1" x14ac:dyDescent="0.35">
      <c r="A439" s="43" t="s">
        <v>46</v>
      </c>
      <c r="B439" s="43"/>
      <c r="C439" s="15" t="s">
        <v>465</v>
      </c>
      <c r="D439" s="40"/>
    </row>
    <row r="440" spans="1:4" ht="4.5" customHeight="1" x14ac:dyDescent="0.35"/>
    <row r="441" spans="1:4" ht="27.75" customHeight="1" x14ac:dyDescent="0.35">
      <c r="A441" s="38" t="s">
        <v>466</v>
      </c>
      <c r="B441" s="38"/>
      <c r="C441" s="10" t="s">
        <v>467</v>
      </c>
      <c r="D441" s="11" t="s">
        <v>39</v>
      </c>
    </row>
    <row r="442" spans="1:4" ht="27.75" customHeight="1" x14ac:dyDescent="0.35">
      <c r="A442" s="39" t="s">
        <v>40</v>
      </c>
      <c r="B442" s="39"/>
      <c r="C442" s="12" t="s">
        <v>468</v>
      </c>
      <c r="D442" s="40"/>
    </row>
    <row r="443" spans="1:4" ht="27.75" customHeight="1" x14ac:dyDescent="0.35">
      <c r="A443" s="41" t="s">
        <v>42</v>
      </c>
      <c r="B443" s="41"/>
      <c r="C443" s="13" t="s">
        <v>469</v>
      </c>
      <c r="D443" s="40"/>
    </row>
    <row r="444" spans="1:4" ht="27.75" customHeight="1" x14ac:dyDescent="0.35">
      <c r="A444" s="42" t="s">
        <v>44</v>
      </c>
      <c r="B444" s="42"/>
      <c r="C444" s="14" t="s">
        <v>470</v>
      </c>
      <c r="D444" s="40"/>
    </row>
    <row r="445" spans="1:4" ht="27.75" customHeight="1" x14ac:dyDescent="0.35">
      <c r="A445" s="43" t="s">
        <v>46</v>
      </c>
      <c r="B445" s="43"/>
      <c r="C445" s="15" t="s">
        <v>471</v>
      </c>
      <c r="D445" s="40"/>
    </row>
    <row r="446" spans="1:4" ht="4.5" customHeight="1" x14ac:dyDescent="0.35"/>
    <row r="447" spans="1:4" ht="27.75" customHeight="1" x14ac:dyDescent="0.35">
      <c r="A447" s="38" t="s">
        <v>472</v>
      </c>
      <c r="B447" s="38"/>
      <c r="C447" s="10" t="s">
        <v>473</v>
      </c>
      <c r="D447" s="11" t="s">
        <v>39</v>
      </c>
    </row>
    <row r="448" spans="1:4" ht="27.75" customHeight="1" x14ac:dyDescent="0.35">
      <c r="A448" s="39" t="s">
        <v>40</v>
      </c>
      <c r="B448" s="39"/>
      <c r="C448" s="12" t="s">
        <v>474</v>
      </c>
      <c r="D448" s="40"/>
    </row>
    <row r="449" spans="1:4" ht="27.75" customHeight="1" x14ac:dyDescent="0.35">
      <c r="A449" s="41" t="s">
        <v>42</v>
      </c>
      <c r="B449" s="41"/>
      <c r="C449" s="13" t="s">
        <v>475</v>
      </c>
      <c r="D449" s="40"/>
    </row>
    <row r="450" spans="1:4" ht="27.75" customHeight="1" x14ac:dyDescent="0.35">
      <c r="A450" s="42" t="s">
        <v>44</v>
      </c>
      <c r="B450" s="42"/>
      <c r="C450" s="14" t="s">
        <v>476</v>
      </c>
      <c r="D450" s="40"/>
    </row>
    <row r="451" spans="1:4" ht="27.75" customHeight="1" x14ac:dyDescent="0.35">
      <c r="A451" s="43" t="s">
        <v>46</v>
      </c>
      <c r="B451" s="43"/>
      <c r="C451" s="15" t="s">
        <v>477</v>
      </c>
      <c r="D451" s="40"/>
    </row>
    <row r="452" spans="1:4" ht="4.5" customHeight="1" x14ac:dyDescent="0.35"/>
    <row r="453" spans="1:4" ht="27.75" customHeight="1" x14ac:dyDescent="0.35">
      <c r="A453" s="38" t="s">
        <v>478</v>
      </c>
      <c r="B453" s="38"/>
      <c r="C453" s="10" t="s">
        <v>479</v>
      </c>
      <c r="D453" s="11" t="s">
        <v>39</v>
      </c>
    </row>
    <row r="454" spans="1:4" ht="27.75" customHeight="1" x14ac:dyDescent="0.35">
      <c r="A454" s="39" t="s">
        <v>40</v>
      </c>
      <c r="B454" s="39"/>
      <c r="C454" s="12" t="s">
        <v>480</v>
      </c>
      <c r="D454" s="40"/>
    </row>
    <row r="455" spans="1:4" ht="27.75" customHeight="1" x14ac:dyDescent="0.35">
      <c r="A455" s="41" t="s">
        <v>42</v>
      </c>
      <c r="B455" s="41"/>
      <c r="C455" s="13" t="s">
        <v>481</v>
      </c>
      <c r="D455" s="40"/>
    </row>
    <row r="456" spans="1:4" ht="27.75" customHeight="1" x14ac:dyDescent="0.35">
      <c r="A456" s="42" t="s">
        <v>44</v>
      </c>
      <c r="B456" s="42"/>
      <c r="C456" s="14" t="s">
        <v>482</v>
      </c>
      <c r="D456" s="40"/>
    </row>
    <row r="457" spans="1:4" ht="27.75" customHeight="1" x14ac:dyDescent="0.35">
      <c r="A457" s="43" t="s">
        <v>46</v>
      </c>
      <c r="B457" s="43"/>
      <c r="C457" s="15" t="s">
        <v>483</v>
      </c>
      <c r="D457" s="40"/>
    </row>
    <row r="458" spans="1:4" ht="4.5" customHeight="1" x14ac:dyDescent="0.35"/>
    <row r="459" spans="1:4" ht="27.75" customHeight="1" x14ac:dyDescent="0.35">
      <c r="A459" s="38" t="s">
        <v>484</v>
      </c>
      <c r="B459" s="38"/>
      <c r="C459" s="10" t="s">
        <v>485</v>
      </c>
      <c r="D459" s="11" t="s">
        <v>39</v>
      </c>
    </row>
    <row r="460" spans="1:4" ht="27.75" customHeight="1" x14ac:dyDescent="0.35">
      <c r="A460" s="39" t="s">
        <v>40</v>
      </c>
      <c r="B460" s="39"/>
      <c r="C460" s="12" t="s">
        <v>486</v>
      </c>
      <c r="D460" s="40"/>
    </row>
    <row r="461" spans="1:4" ht="27.75" customHeight="1" x14ac:dyDescent="0.35">
      <c r="A461" s="41" t="s">
        <v>42</v>
      </c>
      <c r="B461" s="41"/>
      <c r="C461" s="13" t="s">
        <v>487</v>
      </c>
      <c r="D461" s="40"/>
    </row>
    <row r="462" spans="1:4" ht="27.75" customHeight="1" x14ac:dyDescent="0.35">
      <c r="A462" s="42" t="s">
        <v>44</v>
      </c>
      <c r="B462" s="42"/>
      <c r="C462" s="14" t="s">
        <v>488</v>
      </c>
      <c r="D462" s="40"/>
    </row>
    <row r="463" spans="1:4" ht="27.75" customHeight="1" x14ac:dyDescent="0.35">
      <c r="A463" s="43" t="s">
        <v>46</v>
      </c>
      <c r="B463" s="43"/>
      <c r="C463" s="15" t="s">
        <v>489</v>
      </c>
      <c r="D463" s="40"/>
    </row>
    <row r="464" spans="1:4" ht="4.5" customHeight="1" x14ac:dyDescent="0.35"/>
    <row r="465" spans="1:4" ht="27.75" customHeight="1" x14ac:dyDescent="0.35">
      <c r="A465" s="38" t="s">
        <v>490</v>
      </c>
      <c r="B465" s="38"/>
      <c r="C465" s="10" t="s">
        <v>491</v>
      </c>
      <c r="D465" s="11" t="s">
        <v>39</v>
      </c>
    </row>
    <row r="466" spans="1:4" ht="27.75" customHeight="1" x14ac:dyDescent="0.35">
      <c r="A466" s="39" t="s">
        <v>40</v>
      </c>
      <c r="B466" s="39"/>
      <c r="C466" s="12" t="s">
        <v>492</v>
      </c>
      <c r="D466" s="40"/>
    </row>
    <row r="467" spans="1:4" ht="27.75" customHeight="1" x14ac:dyDescent="0.35">
      <c r="A467" s="41" t="s">
        <v>42</v>
      </c>
      <c r="B467" s="41"/>
      <c r="C467" s="13" t="s">
        <v>493</v>
      </c>
      <c r="D467" s="40"/>
    </row>
    <row r="468" spans="1:4" ht="27.75" customHeight="1" x14ac:dyDescent="0.35">
      <c r="A468" s="42" t="s">
        <v>44</v>
      </c>
      <c r="B468" s="42"/>
      <c r="C468" s="14" t="s">
        <v>494</v>
      </c>
      <c r="D468" s="40"/>
    </row>
    <row r="469" spans="1:4" ht="27.75" customHeight="1" x14ac:dyDescent="0.35">
      <c r="A469" s="43" t="s">
        <v>46</v>
      </c>
      <c r="B469" s="43"/>
      <c r="C469" s="15" t="s">
        <v>495</v>
      </c>
      <c r="D469" s="40"/>
    </row>
    <row r="470" spans="1:4" ht="4.5" customHeight="1" x14ac:dyDescent="0.35"/>
    <row r="471" spans="1:4" ht="27.75" customHeight="1" x14ac:dyDescent="0.35">
      <c r="A471" s="38" t="s">
        <v>496</v>
      </c>
      <c r="B471" s="38"/>
      <c r="C471" s="10" t="s">
        <v>497</v>
      </c>
      <c r="D471" s="11" t="s">
        <v>39</v>
      </c>
    </row>
    <row r="472" spans="1:4" ht="27.75" customHeight="1" x14ac:dyDescent="0.35">
      <c r="A472" s="39" t="s">
        <v>40</v>
      </c>
      <c r="B472" s="39"/>
      <c r="C472" s="12" t="s">
        <v>498</v>
      </c>
      <c r="D472" s="40"/>
    </row>
    <row r="473" spans="1:4" ht="27.75" customHeight="1" x14ac:dyDescent="0.35">
      <c r="A473" s="41" t="s">
        <v>42</v>
      </c>
      <c r="B473" s="41"/>
      <c r="C473" s="13" t="s">
        <v>499</v>
      </c>
      <c r="D473" s="40"/>
    </row>
    <row r="474" spans="1:4" ht="27.75" customHeight="1" x14ac:dyDescent="0.35">
      <c r="A474" s="42" t="s">
        <v>44</v>
      </c>
      <c r="B474" s="42"/>
      <c r="C474" s="14" t="s">
        <v>500</v>
      </c>
      <c r="D474" s="40"/>
    </row>
    <row r="475" spans="1:4" ht="27.75" customHeight="1" x14ac:dyDescent="0.35">
      <c r="A475" s="43" t="s">
        <v>46</v>
      </c>
      <c r="B475" s="43"/>
      <c r="C475" s="15" t="s">
        <v>501</v>
      </c>
      <c r="D475" s="40"/>
    </row>
    <row r="476" spans="1:4" ht="4.5" customHeight="1" x14ac:dyDescent="0.35"/>
    <row r="477" spans="1:4" ht="27.75" customHeight="1" x14ac:dyDescent="0.35">
      <c r="A477" s="38" t="s">
        <v>502</v>
      </c>
      <c r="B477" s="38"/>
      <c r="C477" s="10" t="s">
        <v>503</v>
      </c>
      <c r="D477" s="11" t="s">
        <v>39</v>
      </c>
    </row>
    <row r="478" spans="1:4" ht="27.75" customHeight="1" x14ac:dyDescent="0.35">
      <c r="A478" s="39" t="s">
        <v>40</v>
      </c>
      <c r="B478" s="39"/>
      <c r="C478" s="12" t="s">
        <v>504</v>
      </c>
      <c r="D478" s="40"/>
    </row>
    <row r="479" spans="1:4" ht="27.75" customHeight="1" x14ac:dyDescent="0.35">
      <c r="A479" s="41" t="s">
        <v>42</v>
      </c>
      <c r="B479" s="41"/>
      <c r="C479" s="13" t="s">
        <v>505</v>
      </c>
      <c r="D479" s="40"/>
    </row>
    <row r="480" spans="1:4" ht="27.75" customHeight="1" x14ac:dyDescent="0.35">
      <c r="A480" s="42" t="s">
        <v>44</v>
      </c>
      <c r="B480" s="42"/>
      <c r="C480" s="14" t="s">
        <v>506</v>
      </c>
      <c r="D480" s="40"/>
    </row>
    <row r="481" spans="1:4" ht="27.75" customHeight="1" x14ac:dyDescent="0.35">
      <c r="A481" s="43" t="s">
        <v>46</v>
      </c>
      <c r="B481" s="43"/>
      <c r="C481" s="15" t="s">
        <v>507</v>
      </c>
      <c r="D481" s="40"/>
    </row>
    <row r="482" spans="1:4" ht="4.5" customHeight="1" x14ac:dyDescent="0.35"/>
    <row r="483" spans="1:4" ht="27.75" customHeight="1" x14ac:dyDescent="0.35">
      <c r="A483" s="38" t="s">
        <v>508</v>
      </c>
      <c r="B483" s="38"/>
      <c r="C483" s="10" t="s">
        <v>509</v>
      </c>
      <c r="D483" s="11" t="s">
        <v>39</v>
      </c>
    </row>
    <row r="484" spans="1:4" ht="27.75" customHeight="1" x14ac:dyDescent="0.35">
      <c r="A484" s="39" t="s">
        <v>40</v>
      </c>
      <c r="B484" s="39"/>
      <c r="C484" s="12" t="s">
        <v>510</v>
      </c>
      <c r="D484" s="40"/>
    </row>
    <row r="485" spans="1:4" ht="27.75" customHeight="1" x14ac:dyDescent="0.35">
      <c r="A485" s="41" t="s">
        <v>42</v>
      </c>
      <c r="B485" s="41"/>
      <c r="C485" s="13" t="s">
        <v>511</v>
      </c>
      <c r="D485" s="40"/>
    </row>
    <row r="486" spans="1:4" ht="27.75" customHeight="1" x14ac:dyDescent="0.35">
      <c r="A486" s="42" t="s">
        <v>44</v>
      </c>
      <c r="B486" s="42"/>
      <c r="C486" s="14" t="s">
        <v>512</v>
      </c>
      <c r="D486" s="40"/>
    </row>
    <row r="487" spans="1:4" ht="27.75" customHeight="1" x14ac:dyDescent="0.35">
      <c r="A487" s="43" t="s">
        <v>46</v>
      </c>
      <c r="B487" s="43"/>
      <c r="C487" s="15" t="s">
        <v>513</v>
      </c>
      <c r="D487" s="40"/>
    </row>
    <row r="488" spans="1:4" ht="4.5" customHeight="1" x14ac:dyDescent="0.35"/>
    <row r="489" spans="1:4" ht="27.75" customHeight="1" x14ac:dyDescent="0.35">
      <c r="A489" s="38" t="s">
        <v>514</v>
      </c>
      <c r="B489" s="38"/>
      <c r="C489" s="10" t="s">
        <v>515</v>
      </c>
      <c r="D489" s="11" t="s">
        <v>39</v>
      </c>
    </row>
    <row r="490" spans="1:4" ht="27.75" customHeight="1" x14ac:dyDescent="0.35">
      <c r="A490" s="39" t="s">
        <v>40</v>
      </c>
      <c r="B490" s="39"/>
      <c r="C490" s="12" t="s">
        <v>516</v>
      </c>
      <c r="D490" s="40"/>
    </row>
    <row r="491" spans="1:4" ht="27.75" customHeight="1" x14ac:dyDescent="0.35">
      <c r="A491" s="41" t="s">
        <v>42</v>
      </c>
      <c r="B491" s="41"/>
      <c r="C491" s="13" t="s">
        <v>517</v>
      </c>
      <c r="D491" s="40"/>
    </row>
    <row r="492" spans="1:4" ht="27.75" customHeight="1" x14ac:dyDescent="0.35">
      <c r="A492" s="42" t="s">
        <v>44</v>
      </c>
      <c r="B492" s="42"/>
      <c r="C492" s="14" t="s">
        <v>518</v>
      </c>
      <c r="D492" s="40"/>
    </row>
    <row r="493" spans="1:4" ht="27.75" customHeight="1" x14ac:dyDescent="0.35">
      <c r="A493" s="43" t="s">
        <v>46</v>
      </c>
      <c r="B493" s="43"/>
      <c r="C493" s="15" t="s">
        <v>519</v>
      </c>
      <c r="D493" s="40"/>
    </row>
    <row r="494" spans="1:4" ht="4.5" customHeight="1" x14ac:dyDescent="0.35"/>
    <row r="495" spans="1:4" ht="27.75" customHeight="1" x14ac:dyDescent="0.35">
      <c r="A495" s="38" t="s">
        <v>520</v>
      </c>
      <c r="B495" s="38"/>
      <c r="C495" s="10" t="s">
        <v>521</v>
      </c>
      <c r="D495" s="11" t="s">
        <v>39</v>
      </c>
    </row>
    <row r="496" spans="1:4" ht="27.75" customHeight="1" x14ac:dyDescent="0.35">
      <c r="A496" s="39" t="s">
        <v>40</v>
      </c>
      <c r="B496" s="39"/>
      <c r="C496" s="12" t="s">
        <v>522</v>
      </c>
      <c r="D496" s="40"/>
    </row>
    <row r="497" spans="1:4" ht="27.75" customHeight="1" x14ac:dyDescent="0.35">
      <c r="A497" s="41" t="s">
        <v>42</v>
      </c>
      <c r="B497" s="41"/>
      <c r="C497" s="13" t="s">
        <v>523</v>
      </c>
      <c r="D497" s="40"/>
    </row>
    <row r="498" spans="1:4" ht="27.75" customHeight="1" x14ac:dyDescent="0.35">
      <c r="A498" s="42" t="s">
        <v>44</v>
      </c>
      <c r="B498" s="42"/>
      <c r="C498" s="14" t="s">
        <v>524</v>
      </c>
      <c r="D498" s="40"/>
    </row>
    <row r="499" spans="1:4" ht="27.75" customHeight="1" x14ac:dyDescent="0.35">
      <c r="A499" s="43" t="s">
        <v>46</v>
      </c>
      <c r="B499" s="43"/>
      <c r="C499" s="15" t="s">
        <v>525</v>
      </c>
      <c r="D499" s="40"/>
    </row>
    <row r="500" spans="1:4" ht="4.5" customHeight="1" x14ac:dyDescent="0.35"/>
    <row r="501" spans="1:4" ht="27.75" customHeight="1" x14ac:dyDescent="0.35">
      <c r="A501" s="38" t="s">
        <v>526</v>
      </c>
      <c r="B501" s="38"/>
      <c r="C501" s="10" t="s">
        <v>527</v>
      </c>
      <c r="D501" s="11" t="s">
        <v>39</v>
      </c>
    </row>
    <row r="502" spans="1:4" ht="27.75" customHeight="1" x14ac:dyDescent="0.35">
      <c r="A502" s="39" t="s">
        <v>40</v>
      </c>
      <c r="B502" s="39"/>
      <c r="C502" s="12" t="s">
        <v>528</v>
      </c>
      <c r="D502" s="40"/>
    </row>
    <row r="503" spans="1:4" ht="27.75" customHeight="1" x14ac:dyDescent="0.35">
      <c r="A503" s="41" t="s">
        <v>42</v>
      </c>
      <c r="B503" s="41"/>
      <c r="C503" s="13" t="s">
        <v>529</v>
      </c>
      <c r="D503" s="40"/>
    </row>
    <row r="504" spans="1:4" ht="27.75" customHeight="1" x14ac:dyDescent="0.35">
      <c r="A504" s="42" t="s">
        <v>44</v>
      </c>
      <c r="B504" s="42"/>
      <c r="C504" s="14" t="s">
        <v>530</v>
      </c>
      <c r="D504" s="40"/>
    </row>
    <row r="505" spans="1:4" ht="27.75" customHeight="1" x14ac:dyDescent="0.35">
      <c r="A505" s="43" t="s">
        <v>46</v>
      </c>
      <c r="B505" s="43"/>
      <c r="C505" s="15" t="s">
        <v>531</v>
      </c>
      <c r="D505" s="40"/>
    </row>
    <row r="506" spans="1:4" ht="4.5" customHeight="1" x14ac:dyDescent="0.35"/>
    <row r="507" spans="1:4" ht="6" customHeight="1" x14ac:dyDescent="0.35"/>
    <row r="508" spans="1:4" ht="24" customHeight="1" x14ac:dyDescent="0.35">
      <c r="A508" s="46" t="s">
        <v>532</v>
      </c>
      <c r="B508" s="46"/>
      <c r="C508" s="46"/>
      <c r="D508" s="46"/>
    </row>
    <row r="509" spans="1:4" ht="3.75" customHeight="1" x14ac:dyDescent="0.35"/>
    <row r="510" spans="1:4" ht="27.75" customHeight="1" x14ac:dyDescent="0.35">
      <c r="A510" s="38" t="s">
        <v>533</v>
      </c>
      <c r="B510" s="38"/>
      <c r="C510" s="10" t="s">
        <v>534</v>
      </c>
      <c r="D510" s="11" t="s">
        <v>39</v>
      </c>
    </row>
    <row r="511" spans="1:4" ht="27.75" customHeight="1" x14ac:dyDescent="0.35">
      <c r="A511" s="39" t="s">
        <v>40</v>
      </c>
      <c r="B511" s="39"/>
      <c r="C511" s="12" t="s">
        <v>535</v>
      </c>
      <c r="D511" s="40"/>
    </row>
    <row r="512" spans="1:4" ht="27.75" customHeight="1" x14ac:dyDescent="0.35">
      <c r="A512" s="41" t="s">
        <v>42</v>
      </c>
      <c r="B512" s="41"/>
      <c r="C512" s="13" t="s">
        <v>536</v>
      </c>
      <c r="D512" s="40"/>
    </row>
    <row r="513" spans="1:4" ht="27.75" customHeight="1" x14ac:dyDescent="0.35">
      <c r="A513" s="42" t="s">
        <v>44</v>
      </c>
      <c r="B513" s="42"/>
      <c r="C513" s="14" t="s">
        <v>537</v>
      </c>
      <c r="D513" s="40"/>
    </row>
    <row r="514" spans="1:4" ht="27.75" customHeight="1" x14ac:dyDescent="0.35">
      <c r="A514" s="43" t="s">
        <v>46</v>
      </c>
      <c r="B514" s="43"/>
      <c r="C514" s="15" t="s">
        <v>538</v>
      </c>
      <c r="D514" s="40"/>
    </row>
    <row r="515" spans="1:4" ht="4.5" customHeight="1" x14ac:dyDescent="0.35"/>
    <row r="516" spans="1:4" ht="27.75" customHeight="1" x14ac:dyDescent="0.35">
      <c r="A516" s="38" t="s">
        <v>539</v>
      </c>
      <c r="B516" s="38"/>
      <c r="C516" s="10" t="s">
        <v>540</v>
      </c>
      <c r="D516" s="11" t="s">
        <v>39</v>
      </c>
    </row>
    <row r="517" spans="1:4" ht="27.75" customHeight="1" x14ac:dyDescent="0.35">
      <c r="A517" s="39" t="s">
        <v>40</v>
      </c>
      <c r="B517" s="39"/>
      <c r="C517" s="12" t="s">
        <v>541</v>
      </c>
      <c r="D517" s="40"/>
    </row>
    <row r="518" spans="1:4" ht="27.75" customHeight="1" x14ac:dyDescent="0.35">
      <c r="A518" s="41" t="s">
        <v>42</v>
      </c>
      <c r="B518" s="41"/>
      <c r="C518" s="13" t="s">
        <v>542</v>
      </c>
      <c r="D518" s="40"/>
    </row>
    <row r="519" spans="1:4" ht="27.75" customHeight="1" x14ac:dyDescent="0.35">
      <c r="A519" s="42" t="s">
        <v>44</v>
      </c>
      <c r="B519" s="42"/>
      <c r="C519" s="14" t="s">
        <v>543</v>
      </c>
      <c r="D519" s="40"/>
    </row>
    <row r="520" spans="1:4" ht="27.75" customHeight="1" x14ac:dyDescent="0.35">
      <c r="A520" s="43" t="s">
        <v>46</v>
      </c>
      <c r="B520" s="43"/>
      <c r="C520" s="15" t="s">
        <v>544</v>
      </c>
      <c r="D520" s="40"/>
    </row>
    <row r="521" spans="1:4" ht="4.5" customHeight="1" x14ac:dyDescent="0.35"/>
    <row r="522" spans="1:4" ht="27.75" customHeight="1" x14ac:dyDescent="0.35">
      <c r="A522" s="38" t="s">
        <v>545</v>
      </c>
      <c r="B522" s="38"/>
      <c r="C522" s="10" t="s">
        <v>546</v>
      </c>
      <c r="D522" s="11" t="s">
        <v>39</v>
      </c>
    </row>
    <row r="523" spans="1:4" ht="27.75" customHeight="1" x14ac:dyDescent="0.35">
      <c r="A523" s="39" t="s">
        <v>40</v>
      </c>
      <c r="B523" s="39"/>
      <c r="C523" s="12" t="s">
        <v>547</v>
      </c>
      <c r="D523" s="40"/>
    </row>
    <row r="524" spans="1:4" ht="27.75" customHeight="1" x14ac:dyDescent="0.35">
      <c r="A524" s="41" t="s">
        <v>42</v>
      </c>
      <c r="B524" s="41"/>
      <c r="C524" s="13" t="s">
        <v>548</v>
      </c>
      <c r="D524" s="40"/>
    </row>
    <row r="525" spans="1:4" ht="27.75" customHeight="1" x14ac:dyDescent="0.35">
      <c r="A525" s="42" t="s">
        <v>44</v>
      </c>
      <c r="B525" s="42"/>
      <c r="C525" s="14" t="s">
        <v>549</v>
      </c>
      <c r="D525" s="40"/>
    </row>
    <row r="526" spans="1:4" ht="27.75" customHeight="1" x14ac:dyDescent="0.35">
      <c r="A526" s="43" t="s">
        <v>46</v>
      </c>
      <c r="B526" s="43"/>
      <c r="C526" s="15" t="s">
        <v>550</v>
      </c>
      <c r="D526" s="40"/>
    </row>
    <row r="527" spans="1:4" ht="4.5" customHeight="1" x14ac:dyDescent="0.35"/>
    <row r="528" spans="1:4" ht="27.75" customHeight="1" x14ac:dyDescent="0.35">
      <c r="A528" s="38" t="s">
        <v>551</v>
      </c>
      <c r="B528" s="38"/>
      <c r="C528" s="10" t="s">
        <v>552</v>
      </c>
      <c r="D528" s="11" t="s">
        <v>39</v>
      </c>
    </row>
    <row r="529" spans="1:4" ht="27.75" customHeight="1" x14ac:dyDescent="0.35">
      <c r="A529" s="39" t="s">
        <v>40</v>
      </c>
      <c r="B529" s="39"/>
      <c r="C529" s="12" t="s">
        <v>553</v>
      </c>
      <c r="D529" s="40"/>
    </row>
    <row r="530" spans="1:4" ht="27.75" customHeight="1" x14ac:dyDescent="0.35">
      <c r="A530" s="41" t="s">
        <v>42</v>
      </c>
      <c r="B530" s="41"/>
      <c r="C530" s="13" t="s">
        <v>554</v>
      </c>
      <c r="D530" s="40"/>
    </row>
    <row r="531" spans="1:4" ht="27.75" customHeight="1" x14ac:dyDescent="0.35">
      <c r="A531" s="42" t="s">
        <v>44</v>
      </c>
      <c r="B531" s="42"/>
      <c r="C531" s="14" t="s">
        <v>555</v>
      </c>
      <c r="D531" s="40"/>
    </row>
    <row r="532" spans="1:4" ht="27.75" customHeight="1" x14ac:dyDescent="0.35">
      <c r="A532" s="43" t="s">
        <v>46</v>
      </c>
      <c r="B532" s="43"/>
      <c r="C532" s="15" t="s">
        <v>556</v>
      </c>
      <c r="D532" s="40"/>
    </row>
    <row r="533" spans="1:4" ht="4.5" customHeight="1" x14ac:dyDescent="0.35"/>
    <row r="534" spans="1:4" ht="27.75" customHeight="1" x14ac:dyDescent="0.35">
      <c r="A534" s="38" t="s">
        <v>557</v>
      </c>
      <c r="B534" s="38"/>
      <c r="C534" s="10" t="s">
        <v>558</v>
      </c>
      <c r="D534" s="11" t="s">
        <v>39</v>
      </c>
    </row>
    <row r="535" spans="1:4" ht="27.75" customHeight="1" x14ac:dyDescent="0.35">
      <c r="A535" s="39" t="s">
        <v>40</v>
      </c>
      <c r="B535" s="39"/>
      <c r="C535" s="12" t="s">
        <v>559</v>
      </c>
      <c r="D535" s="40"/>
    </row>
    <row r="536" spans="1:4" ht="27.75" customHeight="1" x14ac:dyDescent="0.35">
      <c r="A536" s="41" t="s">
        <v>42</v>
      </c>
      <c r="B536" s="41"/>
      <c r="C536" s="13" t="s">
        <v>560</v>
      </c>
      <c r="D536" s="40"/>
    </row>
    <row r="537" spans="1:4" ht="27.75" customHeight="1" x14ac:dyDescent="0.35">
      <c r="A537" s="42" t="s">
        <v>44</v>
      </c>
      <c r="B537" s="42"/>
      <c r="C537" s="14" t="s">
        <v>561</v>
      </c>
      <c r="D537" s="40"/>
    </row>
    <row r="538" spans="1:4" ht="27.75" customHeight="1" x14ac:dyDescent="0.35">
      <c r="A538" s="43" t="s">
        <v>46</v>
      </c>
      <c r="B538" s="43"/>
      <c r="C538" s="15" t="s">
        <v>562</v>
      </c>
      <c r="D538" s="40"/>
    </row>
    <row r="539" spans="1:4" ht="4.5" customHeight="1" x14ac:dyDescent="0.35"/>
    <row r="540" spans="1:4" ht="27.75" customHeight="1" x14ac:dyDescent="0.35">
      <c r="A540" s="38" t="s">
        <v>563</v>
      </c>
      <c r="B540" s="38"/>
      <c r="C540" s="10" t="s">
        <v>564</v>
      </c>
      <c r="D540" s="11" t="s">
        <v>39</v>
      </c>
    </row>
    <row r="541" spans="1:4" ht="27.75" customHeight="1" x14ac:dyDescent="0.35">
      <c r="A541" s="39" t="s">
        <v>40</v>
      </c>
      <c r="B541" s="39"/>
      <c r="C541" s="12" t="s">
        <v>565</v>
      </c>
      <c r="D541" s="40"/>
    </row>
    <row r="542" spans="1:4" ht="27.75" customHeight="1" x14ac:dyDescent="0.35">
      <c r="A542" s="41" t="s">
        <v>42</v>
      </c>
      <c r="B542" s="41"/>
      <c r="C542" s="13" t="s">
        <v>566</v>
      </c>
      <c r="D542" s="40"/>
    </row>
    <row r="543" spans="1:4" ht="27.75" customHeight="1" x14ac:dyDescent="0.35">
      <c r="A543" s="42" t="s">
        <v>44</v>
      </c>
      <c r="B543" s="42"/>
      <c r="C543" s="14" t="s">
        <v>567</v>
      </c>
      <c r="D543" s="40"/>
    </row>
    <row r="544" spans="1:4" ht="27.75" customHeight="1" x14ac:dyDescent="0.35">
      <c r="A544" s="43" t="s">
        <v>46</v>
      </c>
      <c r="B544" s="43"/>
      <c r="C544" s="15" t="s">
        <v>568</v>
      </c>
      <c r="D544" s="40"/>
    </row>
    <row r="545" spans="1:4" ht="4.5" customHeight="1" x14ac:dyDescent="0.35"/>
    <row r="546" spans="1:4" ht="27.75" customHeight="1" x14ac:dyDescent="0.35">
      <c r="A546" s="38" t="s">
        <v>569</v>
      </c>
      <c r="B546" s="38"/>
      <c r="C546" s="10" t="s">
        <v>570</v>
      </c>
      <c r="D546" s="11" t="s">
        <v>39</v>
      </c>
    </row>
    <row r="547" spans="1:4" ht="27.75" customHeight="1" x14ac:dyDescent="0.35">
      <c r="A547" s="39" t="s">
        <v>40</v>
      </c>
      <c r="B547" s="39"/>
      <c r="C547" s="12" t="s">
        <v>571</v>
      </c>
      <c r="D547" s="40"/>
    </row>
    <row r="548" spans="1:4" ht="27.75" customHeight="1" x14ac:dyDescent="0.35">
      <c r="A548" s="41" t="s">
        <v>42</v>
      </c>
      <c r="B548" s="41"/>
      <c r="C548" s="13" t="s">
        <v>572</v>
      </c>
      <c r="D548" s="40"/>
    </row>
    <row r="549" spans="1:4" ht="27.75" customHeight="1" x14ac:dyDescent="0.35">
      <c r="A549" s="42" t="s">
        <v>44</v>
      </c>
      <c r="B549" s="42"/>
      <c r="C549" s="14" t="s">
        <v>573</v>
      </c>
      <c r="D549" s="40"/>
    </row>
    <row r="550" spans="1:4" ht="27.75" customHeight="1" x14ac:dyDescent="0.35">
      <c r="A550" s="43" t="s">
        <v>46</v>
      </c>
      <c r="B550" s="43"/>
      <c r="C550" s="15" t="s">
        <v>574</v>
      </c>
      <c r="D550" s="40"/>
    </row>
    <row r="551" spans="1:4" ht="4.5" customHeight="1" x14ac:dyDescent="0.35"/>
    <row r="552" spans="1:4" ht="27.75" customHeight="1" x14ac:dyDescent="0.35">
      <c r="A552" s="38" t="s">
        <v>575</v>
      </c>
      <c r="B552" s="38"/>
      <c r="C552" s="10" t="s">
        <v>576</v>
      </c>
      <c r="D552" s="11" t="s">
        <v>39</v>
      </c>
    </row>
    <row r="553" spans="1:4" ht="27.75" customHeight="1" x14ac:dyDescent="0.35">
      <c r="A553" s="39" t="s">
        <v>40</v>
      </c>
      <c r="B553" s="39"/>
      <c r="C553" s="12" t="s">
        <v>577</v>
      </c>
      <c r="D553" s="40"/>
    </row>
    <row r="554" spans="1:4" ht="27.75" customHeight="1" x14ac:dyDescent="0.35">
      <c r="A554" s="41" t="s">
        <v>42</v>
      </c>
      <c r="B554" s="41"/>
      <c r="C554" s="13" t="s">
        <v>578</v>
      </c>
      <c r="D554" s="40"/>
    </row>
    <row r="555" spans="1:4" ht="27.75" customHeight="1" x14ac:dyDescent="0.35">
      <c r="A555" s="42" t="s">
        <v>44</v>
      </c>
      <c r="B555" s="42"/>
      <c r="C555" s="14" t="s">
        <v>579</v>
      </c>
      <c r="D555" s="40"/>
    </row>
    <row r="556" spans="1:4" ht="27.75" customHeight="1" x14ac:dyDescent="0.35">
      <c r="A556" s="43" t="s">
        <v>46</v>
      </c>
      <c r="B556" s="43"/>
      <c r="C556" s="15" t="s">
        <v>580</v>
      </c>
      <c r="D556" s="40"/>
    </row>
    <row r="557" spans="1:4" ht="4.5" customHeight="1" x14ac:dyDescent="0.35"/>
    <row r="558" spans="1:4" ht="27.75" customHeight="1" x14ac:dyDescent="0.35">
      <c r="A558" s="38" t="s">
        <v>581</v>
      </c>
      <c r="B558" s="38"/>
      <c r="C558" s="10" t="s">
        <v>582</v>
      </c>
      <c r="D558" s="11" t="s">
        <v>39</v>
      </c>
    </row>
    <row r="559" spans="1:4" ht="27.75" customHeight="1" x14ac:dyDescent="0.35">
      <c r="A559" s="39" t="s">
        <v>40</v>
      </c>
      <c r="B559" s="39"/>
      <c r="C559" s="12" t="s">
        <v>583</v>
      </c>
      <c r="D559" s="40"/>
    </row>
    <row r="560" spans="1:4" ht="27.75" customHeight="1" x14ac:dyDescent="0.35">
      <c r="A560" s="41" t="s">
        <v>42</v>
      </c>
      <c r="B560" s="41"/>
      <c r="C560" s="13" t="s">
        <v>584</v>
      </c>
      <c r="D560" s="40"/>
    </row>
    <row r="561" spans="1:4" ht="27.75" customHeight="1" x14ac:dyDescent="0.35">
      <c r="A561" s="42" t="s">
        <v>44</v>
      </c>
      <c r="B561" s="42"/>
      <c r="C561" s="14" t="s">
        <v>585</v>
      </c>
      <c r="D561" s="40"/>
    </row>
    <row r="562" spans="1:4" ht="27.75" customHeight="1" x14ac:dyDescent="0.35">
      <c r="A562" s="43" t="s">
        <v>46</v>
      </c>
      <c r="B562" s="43"/>
      <c r="C562" s="15" t="s">
        <v>586</v>
      </c>
      <c r="D562" s="40"/>
    </row>
    <row r="563" spans="1:4" ht="4.5" customHeight="1" x14ac:dyDescent="0.35"/>
    <row r="564" spans="1:4" ht="27.75" customHeight="1" x14ac:dyDescent="0.35">
      <c r="A564" s="38" t="s">
        <v>587</v>
      </c>
      <c r="B564" s="38"/>
      <c r="C564" s="10" t="s">
        <v>588</v>
      </c>
      <c r="D564" s="11" t="s">
        <v>39</v>
      </c>
    </row>
    <row r="565" spans="1:4" ht="27.75" customHeight="1" x14ac:dyDescent="0.35">
      <c r="A565" s="39" t="s">
        <v>40</v>
      </c>
      <c r="B565" s="39"/>
      <c r="C565" s="12" t="s">
        <v>589</v>
      </c>
      <c r="D565" s="40"/>
    </row>
    <row r="566" spans="1:4" ht="27.75" customHeight="1" x14ac:dyDescent="0.35">
      <c r="A566" s="41" t="s">
        <v>42</v>
      </c>
      <c r="B566" s="41"/>
      <c r="C566" s="13" t="s">
        <v>590</v>
      </c>
      <c r="D566" s="40"/>
    </row>
    <row r="567" spans="1:4" ht="27.75" customHeight="1" x14ac:dyDescent="0.35">
      <c r="A567" s="42" t="s">
        <v>44</v>
      </c>
      <c r="B567" s="42"/>
      <c r="C567" s="14" t="s">
        <v>591</v>
      </c>
      <c r="D567" s="40"/>
    </row>
    <row r="568" spans="1:4" ht="27.75" customHeight="1" x14ac:dyDescent="0.35">
      <c r="A568" s="43" t="s">
        <v>46</v>
      </c>
      <c r="B568" s="43"/>
      <c r="C568" s="15" t="s">
        <v>592</v>
      </c>
      <c r="D568" s="40"/>
    </row>
    <row r="569" spans="1:4" ht="4.5" customHeight="1" x14ac:dyDescent="0.35"/>
    <row r="570" spans="1:4" ht="27.75" customHeight="1" x14ac:dyDescent="0.35">
      <c r="A570" s="38" t="s">
        <v>593</v>
      </c>
      <c r="B570" s="38"/>
      <c r="C570" s="10" t="s">
        <v>594</v>
      </c>
      <c r="D570" s="11" t="s">
        <v>39</v>
      </c>
    </row>
    <row r="571" spans="1:4" ht="27.75" customHeight="1" x14ac:dyDescent="0.35">
      <c r="A571" s="39" t="s">
        <v>40</v>
      </c>
      <c r="B571" s="39"/>
      <c r="C571" s="12" t="s">
        <v>595</v>
      </c>
      <c r="D571" s="40"/>
    </row>
    <row r="572" spans="1:4" ht="27.75" customHeight="1" x14ac:dyDescent="0.35">
      <c r="A572" s="41" t="s">
        <v>42</v>
      </c>
      <c r="B572" s="41"/>
      <c r="C572" s="13" t="s">
        <v>596</v>
      </c>
      <c r="D572" s="40"/>
    </row>
    <row r="573" spans="1:4" ht="27.75" customHeight="1" x14ac:dyDescent="0.35">
      <c r="A573" s="42" t="s">
        <v>44</v>
      </c>
      <c r="B573" s="42"/>
      <c r="C573" s="14" t="s">
        <v>597</v>
      </c>
      <c r="D573" s="40"/>
    </row>
    <row r="574" spans="1:4" ht="27.75" customHeight="1" x14ac:dyDescent="0.35">
      <c r="A574" s="43" t="s">
        <v>46</v>
      </c>
      <c r="B574" s="43"/>
      <c r="C574" s="15" t="s">
        <v>598</v>
      </c>
      <c r="D574" s="40"/>
    </row>
    <row r="575" spans="1:4" ht="4.5" customHeight="1" x14ac:dyDescent="0.35"/>
    <row r="576" spans="1:4" ht="27.75" customHeight="1" x14ac:dyDescent="0.35">
      <c r="A576" s="38" t="s">
        <v>599</v>
      </c>
      <c r="B576" s="38"/>
      <c r="C576" s="10" t="s">
        <v>600</v>
      </c>
      <c r="D576" s="11" t="s">
        <v>39</v>
      </c>
    </row>
    <row r="577" spans="1:4" ht="27.75" customHeight="1" x14ac:dyDescent="0.35">
      <c r="A577" s="39" t="s">
        <v>40</v>
      </c>
      <c r="B577" s="39"/>
      <c r="C577" s="12" t="s">
        <v>601</v>
      </c>
      <c r="D577" s="40"/>
    </row>
    <row r="578" spans="1:4" ht="27.75" customHeight="1" x14ac:dyDescent="0.35">
      <c r="A578" s="41" t="s">
        <v>42</v>
      </c>
      <c r="B578" s="41"/>
      <c r="C578" s="13" t="s">
        <v>602</v>
      </c>
      <c r="D578" s="40"/>
    </row>
    <row r="579" spans="1:4" ht="27.75" customHeight="1" x14ac:dyDescent="0.35">
      <c r="A579" s="42" t="s">
        <v>44</v>
      </c>
      <c r="B579" s="42"/>
      <c r="C579" s="14" t="s">
        <v>603</v>
      </c>
      <c r="D579" s="40"/>
    </row>
    <row r="580" spans="1:4" ht="27.75" customHeight="1" x14ac:dyDescent="0.35">
      <c r="A580" s="43" t="s">
        <v>46</v>
      </c>
      <c r="B580" s="43"/>
      <c r="C580" s="15" t="s">
        <v>604</v>
      </c>
      <c r="D580" s="40"/>
    </row>
    <row r="581" spans="1:4" ht="4.5" customHeight="1" x14ac:dyDescent="0.35"/>
    <row r="582" spans="1:4" ht="27.75" customHeight="1" x14ac:dyDescent="0.35">
      <c r="A582" s="38" t="s">
        <v>605</v>
      </c>
      <c r="B582" s="38"/>
      <c r="C582" s="10" t="s">
        <v>606</v>
      </c>
      <c r="D582" s="11" t="s">
        <v>39</v>
      </c>
    </row>
    <row r="583" spans="1:4" ht="27.75" customHeight="1" x14ac:dyDescent="0.35">
      <c r="A583" s="39" t="s">
        <v>40</v>
      </c>
      <c r="B583" s="39"/>
      <c r="C583" s="12" t="s">
        <v>607</v>
      </c>
      <c r="D583" s="40"/>
    </row>
    <row r="584" spans="1:4" ht="27.75" customHeight="1" x14ac:dyDescent="0.35">
      <c r="A584" s="41" t="s">
        <v>42</v>
      </c>
      <c r="B584" s="41"/>
      <c r="C584" s="13" t="s">
        <v>608</v>
      </c>
      <c r="D584" s="40"/>
    </row>
    <row r="585" spans="1:4" ht="27.75" customHeight="1" x14ac:dyDescent="0.35">
      <c r="A585" s="42" t="s">
        <v>44</v>
      </c>
      <c r="B585" s="42"/>
      <c r="C585" s="14" t="s">
        <v>609</v>
      </c>
      <c r="D585" s="40"/>
    </row>
    <row r="586" spans="1:4" ht="27.75" customHeight="1" x14ac:dyDescent="0.35">
      <c r="A586" s="43" t="s">
        <v>46</v>
      </c>
      <c r="B586" s="43"/>
      <c r="C586" s="15" t="s">
        <v>610</v>
      </c>
      <c r="D586" s="40"/>
    </row>
    <row r="587" spans="1:4" ht="4.5" customHeight="1" x14ac:dyDescent="0.35"/>
    <row r="588" spans="1:4" ht="27.75" customHeight="1" x14ac:dyDescent="0.35">
      <c r="A588" s="38" t="s">
        <v>611</v>
      </c>
      <c r="B588" s="38"/>
      <c r="C588" s="10" t="s">
        <v>612</v>
      </c>
      <c r="D588" s="11" t="s">
        <v>39</v>
      </c>
    </row>
    <row r="589" spans="1:4" ht="27.75" customHeight="1" x14ac:dyDescent="0.35">
      <c r="A589" s="39" t="s">
        <v>40</v>
      </c>
      <c r="B589" s="39"/>
      <c r="C589" s="12" t="s">
        <v>613</v>
      </c>
      <c r="D589" s="40"/>
    </row>
    <row r="590" spans="1:4" ht="27.75" customHeight="1" x14ac:dyDescent="0.35">
      <c r="A590" s="41" t="s">
        <v>42</v>
      </c>
      <c r="B590" s="41"/>
      <c r="C590" s="13" t="s">
        <v>614</v>
      </c>
      <c r="D590" s="40"/>
    </row>
    <row r="591" spans="1:4" ht="27.75" customHeight="1" x14ac:dyDescent="0.35">
      <c r="A591" s="42" t="s">
        <v>44</v>
      </c>
      <c r="B591" s="42"/>
      <c r="C591" s="14" t="s">
        <v>615</v>
      </c>
      <c r="D591" s="40"/>
    </row>
    <row r="592" spans="1:4" ht="27.75" customHeight="1" x14ac:dyDescent="0.35">
      <c r="A592" s="43" t="s">
        <v>46</v>
      </c>
      <c r="B592" s="43"/>
      <c r="C592" s="15" t="s">
        <v>616</v>
      </c>
      <c r="D592" s="40"/>
    </row>
    <row r="593" spans="1:4" ht="4.5" customHeight="1" x14ac:dyDescent="0.35"/>
    <row r="594" spans="1:4" ht="27.75" customHeight="1" x14ac:dyDescent="0.35">
      <c r="A594" s="38" t="s">
        <v>617</v>
      </c>
      <c r="B594" s="38"/>
      <c r="C594" s="10" t="s">
        <v>618</v>
      </c>
      <c r="D594" s="11" t="s">
        <v>39</v>
      </c>
    </row>
    <row r="595" spans="1:4" ht="27.75" customHeight="1" x14ac:dyDescent="0.35">
      <c r="A595" s="39" t="s">
        <v>40</v>
      </c>
      <c r="B595" s="39"/>
      <c r="C595" s="12" t="s">
        <v>619</v>
      </c>
      <c r="D595" s="40"/>
    </row>
    <row r="596" spans="1:4" ht="27.75" customHeight="1" x14ac:dyDescent="0.35">
      <c r="A596" s="41" t="s">
        <v>42</v>
      </c>
      <c r="B596" s="41"/>
      <c r="C596" s="13" t="s">
        <v>620</v>
      </c>
      <c r="D596" s="40"/>
    </row>
    <row r="597" spans="1:4" ht="27.75" customHeight="1" x14ac:dyDescent="0.35">
      <c r="A597" s="42" t="s">
        <v>44</v>
      </c>
      <c r="B597" s="42"/>
      <c r="C597" s="14" t="s">
        <v>621</v>
      </c>
      <c r="D597" s="40"/>
    </row>
    <row r="598" spans="1:4" ht="27.75" customHeight="1" x14ac:dyDescent="0.35">
      <c r="A598" s="43" t="s">
        <v>46</v>
      </c>
      <c r="B598" s="43"/>
      <c r="C598" s="15" t="s">
        <v>622</v>
      </c>
      <c r="D598" s="40"/>
    </row>
    <row r="599" spans="1:4" ht="4.5" customHeight="1" x14ac:dyDescent="0.35"/>
    <row r="600" spans="1:4" ht="27.75" customHeight="1" x14ac:dyDescent="0.35">
      <c r="A600" s="38" t="s">
        <v>623</v>
      </c>
      <c r="B600" s="38"/>
      <c r="C600" s="10" t="s">
        <v>624</v>
      </c>
      <c r="D600" s="11" t="s">
        <v>39</v>
      </c>
    </row>
    <row r="601" spans="1:4" ht="27.75" customHeight="1" x14ac:dyDescent="0.35">
      <c r="A601" s="39" t="s">
        <v>40</v>
      </c>
      <c r="B601" s="39"/>
      <c r="C601" s="12" t="s">
        <v>625</v>
      </c>
      <c r="D601" s="40"/>
    </row>
    <row r="602" spans="1:4" ht="27.75" customHeight="1" x14ac:dyDescent="0.35">
      <c r="A602" s="41" t="s">
        <v>42</v>
      </c>
      <c r="B602" s="41"/>
      <c r="C602" s="13" t="s">
        <v>626</v>
      </c>
      <c r="D602" s="40"/>
    </row>
    <row r="603" spans="1:4" ht="27.75" customHeight="1" x14ac:dyDescent="0.35">
      <c r="A603" s="42" t="s">
        <v>44</v>
      </c>
      <c r="B603" s="42"/>
      <c r="C603" s="14" t="s">
        <v>627</v>
      </c>
      <c r="D603" s="40"/>
    </row>
    <row r="604" spans="1:4" ht="27.75" customHeight="1" x14ac:dyDescent="0.35">
      <c r="A604" s="43" t="s">
        <v>46</v>
      </c>
      <c r="B604" s="43"/>
      <c r="C604" s="15" t="s">
        <v>628</v>
      </c>
      <c r="D604" s="40"/>
    </row>
    <row r="605" spans="1:4" ht="4.5" customHeight="1" x14ac:dyDescent="0.35"/>
    <row r="606" spans="1:4" ht="27.75" customHeight="1" x14ac:dyDescent="0.35">
      <c r="A606" s="38" t="s">
        <v>629</v>
      </c>
      <c r="B606" s="38"/>
      <c r="C606" s="10" t="s">
        <v>630</v>
      </c>
      <c r="D606" s="11" t="s">
        <v>39</v>
      </c>
    </row>
    <row r="607" spans="1:4" ht="27.75" customHeight="1" x14ac:dyDescent="0.35">
      <c r="A607" s="39" t="s">
        <v>40</v>
      </c>
      <c r="B607" s="39"/>
      <c r="C607" s="12" t="s">
        <v>631</v>
      </c>
      <c r="D607" s="40"/>
    </row>
    <row r="608" spans="1:4" ht="27.75" customHeight="1" x14ac:dyDescent="0.35">
      <c r="A608" s="41" t="s">
        <v>42</v>
      </c>
      <c r="B608" s="41"/>
      <c r="C608" s="13" t="s">
        <v>632</v>
      </c>
      <c r="D608" s="40"/>
    </row>
    <row r="609" spans="1:4" ht="27.75" customHeight="1" x14ac:dyDescent="0.35">
      <c r="A609" s="42" t="s">
        <v>44</v>
      </c>
      <c r="B609" s="42"/>
      <c r="C609" s="14" t="s">
        <v>633</v>
      </c>
      <c r="D609" s="40"/>
    </row>
    <row r="610" spans="1:4" ht="27.75" customHeight="1" x14ac:dyDescent="0.35">
      <c r="A610" s="43" t="s">
        <v>46</v>
      </c>
      <c r="B610" s="43"/>
      <c r="C610" s="15" t="s">
        <v>634</v>
      </c>
      <c r="D610" s="40"/>
    </row>
    <row r="611" spans="1:4" ht="4.5" customHeight="1" x14ac:dyDescent="0.35"/>
    <row r="612" spans="1:4" ht="27.75" customHeight="1" x14ac:dyDescent="0.35">
      <c r="A612" s="38" t="s">
        <v>635</v>
      </c>
      <c r="B612" s="38"/>
      <c r="C612" s="10" t="s">
        <v>636</v>
      </c>
      <c r="D612" s="11" t="s">
        <v>39</v>
      </c>
    </row>
    <row r="613" spans="1:4" ht="27.75" customHeight="1" x14ac:dyDescent="0.35">
      <c r="A613" s="39" t="s">
        <v>40</v>
      </c>
      <c r="B613" s="39"/>
      <c r="C613" s="12" t="s">
        <v>637</v>
      </c>
      <c r="D613" s="40"/>
    </row>
    <row r="614" spans="1:4" ht="27.75" customHeight="1" x14ac:dyDescent="0.35">
      <c r="A614" s="41" t="s">
        <v>42</v>
      </c>
      <c r="B614" s="41"/>
      <c r="C614" s="13" t="s">
        <v>638</v>
      </c>
      <c r="D614" s="40"/>
    </row>
    <row r="615" spans="1:4" ht="27.75" customHeight="1" x14ac:dyDescent="0.35">
      <c r="A615" s="42" t="s">
        <v>44</v>
      </c>
      <c r="B615" s="42"/>
      <c r="C615" s="14" t="s">
        <v>639</v>
      </c>
      <c r="D615" s="40"/>
    </row>
    <row r="616" spans="1:4" ht="27.75" customHeight="1" x14ac:dyDescent="0.35">
      <c r="A616" s="43" t="s">
        <v>46</v>
      </c>
      <c r="B616" s="43"/>
      <c r="C616" s="15" t="s">
        <v>640</v>
      </c>
      <c r="D616" s="40"/>
    </row>
    <row r="617" spans="1:4" ht="4.5" customHeight="1" x14ac:dyDescent="0.35"/>
    <row r="618" spans="1:4" ht="6" customHeight="1" x14ac:dyDescent="0.35"/>
    <row r="619" spans="1:4" ht="24" customHeight="1" x14ac:dyDescent="0.35">
      <c r="A619" s="45" t="s">
        <v>641</v>
      </c>
      <c r="B619" s="45"/>
      <c r="C619" s="45"/>
      <c r="D619" s="45"/>
    </row>
    <row r="620" spans="1:4" ht="3.75" customHeight="1" x14ac:dyDescent="0.35"/>
    <row r="621" spans="1:4" ht="27.75" customHeight="1" x14ac:dyDescent="0.35">
      <c r="A621" s="38" t="s">
        <v>642</v>
      </c>
      <c r="B621" s="38"/>
      <c r="C621" s="10" t="s">
        <v>643</v>
      </c>
      <c r="D621" s="11" t="s">
        <v>39</v>
      </c>
    </row>
    <row r="622" spans="1:4" ht="27.75" customHeight="1" x14ac:dyDescent="0.35">
      <c r="A622" s="39" t="s">
        <v>40</v>
      </c>
      <c r="B622" s="39"/>
      <c r="C622" s="12" t="s">
        <v>644</v>
      </c>
      <c r="D622" s="40"/>
    </row>
    <row r="623" spans="1:4" ht="27.75" customHeight="1" x14ac:dyDescent="0.35">
      <c r="A623" s="41" t="s">
        <v>42</v>
      </c>
      <c r="B623" s="41"/>
      <c r="C623" s="13" t="s">
        <v>645</v>
      </c>
      <c r="D623" s="40"/>
    </row>
    <row r="624" spans="1:4" ht="27.75" customHeight="1" x14ac:dyDescent="0.35">
      <c r="A624" s="42" t="s">
        <v>44</v>
      </c>
      <c r="B624" s="42"/>
      <c r="C624" s="14" t="s">
        <v>646</v>
      </c>
      <c r="D624" s="40"/>
    </row>
    <row r="625" spans="1:4" ht="27.75" customHeight="1" x14ac:dyDescent="0.35">
      <c r="A625" s="43" t="s">
        <v>46</v>
      </c>
      <c r="B625" s="43"/>
      <c r="C625" s="15" t="s">
        <v>647</v>
      </c>
      <c r="D625" s="40"/>
    </row>
    <row r="626" spans="1:4" ht="4.5" customHeight="1" x14ac:dyDescent="0.35"/>
    <row r="627" spans="1:4" ht="27.75" customHeight="1" x14ac:dyDescent="0.35">
      <c r="A627" s="38" t="s">
        <v>648</v>
      </c>
      <c r="B627" s="38"/>
      <c r="C627" s="10" t="s">
        <v>649</v>
      </c>
      <c r="D627" s="11" t="s">
        <v>39</v>
      </c>
    </row>
    <row r="628" spans="1:4" ht="27.75" customHeight="1" x14ac:dyDescent="0.35">
      <c r="A628" s="39" t="s">
        <v>40</v>
      </c>
      <c r="B628" s="39"/>
      <c r="C628" s="12" t="s">
        <v>650</v>
      </c>
      <c r="D628" s="40"/>
    </row>
    <row r="629" spans="1:4" ht="27.75" customHeight="1" x14ac:dyDescent="0.35">
      <c r="A629" s="41" t="s">
        <v>42</v>
      </c>
      <c r="B629" s="41"/>
      <c r="C629" s="13" t="s">
        <v>651</v>
      </c>
      <c r="D629" s="40"/>
    </row>
    <row r="630" spans="1:4" ht="27.75" customHeight="1" x14ac:dyDescent="0.35">
      <c r="A630" s="42" t="s">
        <v>44</v>
      </c>
      <c r="B630" s="42"/>
      <c r="C630" s="14" t="s">
        <v>652</v>
      </c>
      <c r="D630" s="40"/>
    </row>
    <row r="631" spans="1:4" ht="27.75" customHeight="1" x14ac:dyDescent="0.35">
      <c r="A631" s="43" t="s">
        <v>46</v>
      </c>
      <c r="B631" s="43"/>
      <c r="C631" s="15" t="s">
        <v>653</v>
      </c>
      <c r="D631" s="40"/>
    </row>
    <row r="632" spans="1:4" ht="4.5" customHeight="1" x14ac:dyDescent="0.35"/>
    <row r="633" spans="1:4" ht="27.75" customHeight="1" x14ac:dyDescent="0.35">
      <c r="A633" s="38" t="s">
        <v>654</v>
      </c>
      <c r="B633" s="38"/>
      <c r="C633" s="10" t="s">
        <v>655</v>
      </c>
      <c r="D633" s="11" t="s">
        <v>39</v>
      </c>
    </row>
    <row r="634" spans="1:4" ht="27.75" customHeight="1" x14ac:dyDescent="0.35">
      <c r="A634" s="39" t="s">
        <v>40</v>
      </c>
      <c r="B634" s="39"/>
      <c r="C634" s="12" t="s">
        <v>656</v>
      </c>
      <c r="D634" s="40"/>
    </row>
    <row r="635" spans="1:4" ht="27.75" customHeight="1" x14ac:dyDescent="0.35">
      <c r="A635" s="41" t="s">
        <v>42</v>
      </c>
      <c r="B635" s="41"/>
      <c r="C635" s="13" t="s">
        <v>657</v>
      </c>
      <c r="D635" s="40"/>
    </row>
    <row r="636" spans="1:4" ht="27.75" customHeight="1" x14ac:dyDescent="0.35">
      <c r="A636" s="42" t="s">
        <v>44</v>
      </c>
      <c r="B636" s="42"/>
      <c r="C636" s="14" t="s">
        <v>658</v>
      </c>
      <c r="D636" s="40"/>
    </row>
    <row r="637" spans="1:4" ht="27.75" customHeight="1" x14ac:dyDescent="0.35">
      <c r="A637" s="43" t="s">
        <v>46</v>
      </c>
      <c r="B637" s="43"/>
      <c r="C637" s="15" t="s">
        <v>659</v>
      </c>
      <c r="D637" s="40"/>
    </row>
    <row r="638" spans="1:4" ht="4.5" customHeight="1" x14ac:dyDescent="0.35"/>
    <row r="639" spans="1:4" ht="27.75" customHeight="1" x14ac:dyDescent="0.35">
      <c r="A639" s="38" t="s">
        <v>660</v>
      </c>
      <c r="B639" s="38"/>
      <c r="C639" s="10" t="s">
        <v>661</v>
      </c>
      <c r="D639" s="11" t="s">
        <v>39</v>
      </c>
    </row>
    <row r="640" spans="1:4" ht="27.75" customHeight="1" x14ac:dyDescent="0.35">
      <c r="A640" s="39" t="s">
        <v>40</v>
      </c>
      <c r="B640" s="39"/>
      <c r="C640" s="12" t="s">
        <v>662</v>
      </c>
      <c r="D640" s="40"/>
    </row>
    <row r="641" spans="1:4" ht="27.75" customHeight="1" x14ac:dyDescent="0.35">
      <c r="A641" s="41" t="s">
        <v>42</v>
      </c>
      <c r="B641" s="41"/>
      <c r="C641" s="13" t="s">
        <v>663</v>
      </c>
      <c r="D641" s="40"/>
    </row>
    <row r="642" spans="1:4" ht="27.75" customHeight="1" x14ac:dyDescent="0.35">
      <c r="A642" s="42" t="s">
        <v>44</v>
      </c>
      <c r="B642" s="42"/>
      <c r="C642" s="14" t="s">
        <v>664</v>
      </c>
      <c r="D642" s="40"/>
    </row>
    <row r="643" spans="1:4" ht="27.75" customHeight="1" x14ac:dyDescent="0.35">
      <c r="A643" s="43" t="s">
        <v>46</v>
      </c>
      <c r="B643" s="43"/>
      <c r="C643" s="15" t="s">
        <v>665</v>
      </c>
      <c r="D643" s="40"/>
    </row>
    <row r="644" spans="1:4" ht="4.5" customHeight="1" x14ac:dyDescent="0.35"/>
    <row r="645" spans="1:4" ht="27.75" customHeight="1" x14ac:dyDescent="0.35">
      <c r="A645" s="38" t="s">
        <v>666</v>
      </c>
      <c r="B645" s="38"/>
      <c r="C645" s="10" t="s">
        <v>667</v>
      </c>
      <c r="D645" s="11" t="s">
        <v>39</v>
      </c>
    </row>
    <row r="646" spans="1:4" ht="27.75" customHeight="1" x14ac:dyDescent="0.35">
      <c r="A646" s="39" t="s">
        <v>40</v>
      </c>
      <c r="B646" s="39"/>
      <c r="C646" s="12" t="s">
        <v>668</v>
      </c>
      <c r="D646" s="40"/>
    </row>
    <row r="647" spans="1:4" ht="27.75" customHeight="1" x14ac:dyDescent="0.35">
      <c r="A647" s="41" t="s">
        <v>42</v>
      </c>
      <c r="B647" s="41"/>
      <c r="C647" s="13" t="s">
        <v>669</v>
      </c>
      <c r="D647" s="40"/>
    </row>
    <row r="648" spans="1:4" ht="27.75" customHeight="1" x14ac:dyDescent="0.35">
      <c r="A648" s="42" t="s">
        <v>44</v>
      </c>
      <c r="B648" s="42"/>
      <c r="C648" s="14" t="s">
        <v>670</v>
      </c>
      <c r="D648" s="40"/>
    </row>
    <row r="649" spans="1:4" ht="27.75" customHeight="1" x14ac:dyDescent="0.35">
      <c r="A649" s="43" t="s">
        <v>46</v>
      </c>
      <c r="B649" s="43"/>
      <c r="C649" s="15" t="s">
        <v>671</v>
      </c>
      <c r="D649" s="40"/>
    </row>
    <row r="650" spans="1:4" ht="4.5" customHeight="1" x14ac:dyDescent="0.35"/>
    <row r="651" spans="1:4" ht="27.75" customHeight="1" x14ac:dyDescent="0.35">
      <c r="A651" s="38" t="s">
        <v>672</v>
      </c>
      <c r="B651" s="38"/>
      <c r="C651" s="10" t="s">
        <v>673</v>
      </c>
      <c r="D651" s="11" t="s">
        <v>39</v>
      </c>
    </row>
    <row r="652" spans="1:4" ht="27.75" customHeight="1" x14ac:dyDescent="0.35">
      <c r="A652" s="39" t="s">
        <v>40</v>
      </c>
      <c r="B652" s="39"/>
      <c r="C652" s="12" t="s">
        <v>674</v>
      </c>
      <c r="D652" s="40"/>
    </row>
    <row r="653" spans="1:4" ht="27.75" customHeight="1" x14ac:dyDescent="0.35">
      <c r="A653" s="41" t="s">
        <v>42</v>
      </c>
      <c r="B653" s="41"/>
      <c r="C653" s="13" t="s">
        <v>675</v>
      </c>
      <c r="D653" s="40"/>
    </row>
    <row r="654" spans="1:4" ht="27.75" customHeight="1" x14ac:dyDescent="0.35">
      <c r="A654" s="42" t="s">
        <v>44</v>
      </c>
      <c r="B654" s="42"/>
      <c r="C654" s="14" t="s">
        <v>676</v>
      </c>
      <c r="D654" s="40"/>
    </row>
    <row r="655" spans="1:4" ht="27.75" customHeight="1" x14ac:dyDescent="0.35">
      <c r="A655" s="43" t="s">
        <v>46</v>
      </c>
      <c r="B655" s="43"/>
      <c r="C655" s="15" t="s">
        <v>677</v>
      </c>
      <c r="D655" s="40"/>
    </row>
    <row r="656" spans="1:4" ht="4.5" customHeight="1" x14ac:dyDescent="0.35"/>
    <row r="657" spans="1:4" ht="27.75" customHeight="1" x14ac:dyDescent="0.35">
      <c r="A657" s="38" t="s">
        <v>678</v>
      </c>
      <c r="B657" s="38"/>
      <c r="C657" s="10" t="s">
        <v>679</v>
      </c>
      <c r="D657" s="11" t="s">
        <v>39</v>
      </c>
    </row>
    <row r="658" spans="1:4" ht="27.75" customHeight="1" x14ac:dyDescent="0.35">
      <c r="A658" s="39" t="s">
        <v>40</v>
      </c>
      <c r="B658" s="39"/>
      <c r="C658" s="12" t="s">
        <v>680</v>
      </c>
      <c r="D658" s="40"/>
    </row>
    <row r="659" spans="1:4" ht="27.75" customHeight="1" x14ac:dyDescent="0.35">
      <c r="A659" s="41" t="s">
        <v>42</v>
      </c>
      <c r="B659" s="41"/>
      <c r="C659" s="13" t="s">
        <v>681</v>
      </c>
      <c r="D659" s="40"/>
    </row>
    <row r="660" spans="1:4" ht="27.75" customHeight="1" x14ac:dyDescent="0.35">
      <c r="A660" s="42" t="s">
        <v>44</v>
      </c>
      <c r="B660" s="42"/>
      <c r="C660" s="14" t="s">
        <v>682</v>
      </c>
      <c r="D660" s="40"/>
    </row>
    <row r="661" spans="1:4" ht="27.75" customHeight="1" x14ac:dyDescent="0.35">
      <c r="A661" s="43" t="s">
        <v>46</v>
      </c>
      <c r="B661" s="43"/>
      <c r="C661" s="15" t="s">
        <v>683</v>
      </c>
      <c r="D661" s="40"/>
    </row>
    <row r="662" spans="1:4" ht="4.5" customHeight="1" x14ac:dyDescent="0.35"/>
    <row r="663" spans="1:4" ht="27.75" customHeight="1" x14ac:dyDescent="0.35">
      <c r="A663" s="38" t="s">
        <v>684</v>
      </c>
      <c r="B663" s="38"/>
      <c r="C663" s="10" t="s">
        <v>685</v>
      </c>
      <c r="D663" s="11" t="s">
        <v>39</v>
      </c>
    </row>
    <row r="664" spans="1:4" ht="27.75" customHeight="1" x14ac:dyDescent="0.35">
      <c r="A664" s="39" t="s">
        <v>40</v>
      </c>
      <c r="B664" s="39"/>
      <c r="C664" s="12" t="s">
        <v>686</v>
      </c>
      <c r="D664" s="40"/>
    </row>
    <row r="665" spans="1:4" ht="27.75" customHeight="1" x14ac:dyDescent="0.35">
      <c r="A665" s="41" t="s">
        <v>42</v>
      </c>
      <c r="B665" s="41"/>
      <c r="C665" s="13" t="s">
        <v>687</v>
      </c>
      <c r="D665" s="40"/>
    </row>
    <row r="666" spans="1:4" ht="27.75" customHeight="1" x14ac:dyDescent="0.35">
      <c r="A666" s="42" t="s">
        <v>44</v>
      </c>
      <c r="B666" s="42"/>
      <c r="C666" s="14" t="s">
        <v>688</v>
      </c>
      <c r="D666" s="40"/>
    </row>
    <row r="667" spans="1:4" ht="27.75" customHeight="1" x14ac:dyDescent="0.35">
      <c r="A667" s="43" t="s">
        <v>46</v>
      </c>
      <c r="B667" s="43"/>
      <c r="C667" s="15" t="s">
        <v>689</v>
      </c>
      <c r="D667" s="40"/>
    </row>
    <row r="668" spans="1:4" ht="4.5" customHeight="1" x14ac:dyDescent="0.35"/>
    <row r="669" spans="1:4" ht="27.75" customHeight="1" x14ac:dyDescent="0.35">
      <c r="A669" s="38" t="s">
        <v>690</v>
      </c>
      <c r="B669" s="38"/>
      <c r="C669" s="10" t="s">
        <v>691</v>
      </c>
      <c r="D669" s="11" t="s">
        <v>39</v>
      </c>
    </row>
    <row r="670" spans="1:4" ht="27.75" customHeight="1" x14ac:dyDescent="0.35">
      <c r="A670" s="39" t="s">
        <v>40</v>
      </c>
      <c r="B670" s="39"/>
      <c r="C670" s="12" t="s">
        <v>692</v>
      </c>
      <c r="D670" s="40"/>
    </row>
    <row r="671" spans="1:4" ht="27.75" customHeight="1" x14ac:dyDescent="0.35">
      <c r="A671" s="41" t="s">
        <v>42</v>
      </c>
      <c r="B671" s="41"/>
      <c r="C671" s="13" t="s">
        <v>693</v>
      </c>
      <c r="D671" s="40"/>
    </row>
    <row r="672" spans="1:4" ht="27.75" customHeight="1" x14ac:dyDescent="0.35">
      <c r="A672" s="42" t="s">
        <v>44</v>
      </c>
      <c r="B672" s="42"/>
      <c r="C672" s="14" t="s">
        <v>694</v>
      </c>
      <c r="D672" s="40"/>
    </row>
    <row r="673" spans="1:4" ht="27.75" customHeight="1" x14ac:dyDescent="0.35">
      <c r="A673" s="43" t="s">
        <v>46</v>
      </c>
      <c r="B673" s="43"/>
      <c r="C673" s="15" t="s">
        <v>695</v>
      </c>
      <c r="D673" s="40"/>
    </row>
    <row r="674" spans="1:4" ht="4.5" customHeight="1" x14ac:dyDescent="0.35"/>
    <row r="675" spans="1:4" ht="27.75" customHeight="1" x14ac:dyDescent="0.35">
      <c r="A675" s="38" t="s">
        <v>696</v>
      </c>
      <c r="B675" s="38"/>
      <c r="C675" s="10" t="s">
        <v>697</v>
      </c>
      <c r="D675" s="11" t="s">
        <v>39</v>
      </c>
    </row>
    <row r="676" spans="1:4" ht="27.75" customHeight="1" x14ac:dyDescent="0.35">
      <c r="A676" s="39" t="s">
        <v>40</v>
      </c>
      <c r="B676" s="39"/>
      <c r="C676" s="12" t="s">
        <v>698</v>
      </c>
      <c r="D676" s="40"/>
    </row>
    <row r="677" spans="1:4" ht="27.75" customHeight="1" x14ac:dyDescent="0.35">
      <c r="A677" s="41" t="s">
        <v>42</v>
      </c>
      <c r="B677" s="41"/>
      <c r="C677" s="13" t="s">
        <v>699</v>
      </c>
      <c r="D677" s="40"/>
    </row>
    <row r="678" spans="1:4" ht="27.75" customHeight="1" x14ac:dyDescent="0.35">
      <c r="A678" s="42" t="s">
        <v>44</v>
      </c>
      <c r="B678" s="42"/>
      <c r="C678" s="14" t="s">
        <v>700</v>
      </c>
      <c r="D678" s="40"/>
    </row>
    <row r="679" spans="1:4" ht="27.75" customHeight="1" x14ac:dyDescent="0.35">
      <c r="A679" s="43" t="s">
        <v>46</v>
      </c>
      <c r="B679" s="43"/>
      <c r="C679" s="15" t="s">
        <v>701</v>
      </c>
      <c r="D679" s="40"/>
    </row>
    <row r="680" spans="1:4" ht="4.5" customHeight="1" x14ac:dyDescent="0.35"/>
    <row r="681" spans="1:4" ht="27.75" customHeight="1" x14ac:dyDescent="0.35">
      <c r="A681" s="38" t="s">
        <v>702</v>
      </c>
      <c r="B681" s="38"/>
      <c r="C681" s="10" t="s">
        <v>703</v>
      </c>
      <c r="D681" s="11" t="s">
        <v>39</v>
      </c>
    </row>
    <row r="682" spans="1:4" ht="27.75" customHeight="1" x14ac:dyDescent="0.35">
      <c r="A682" s="39" t="s">
        <v>40</v>
      </c>
      <c r="B682" s="39"/>
      <c r="C682" s="12" t="s">
        <v>704</v>
      </c>
      <c r="D682" s="40"/>
    </row>
    <row r="683" spans="1:4" ht="27.75" customHeight="1" x14ac:dyDescent="0.35">
      <c r="A683" s="41" t="s">
        <v>42</v>
      </c>
      <c r="B683" s="41"/>
      <c r="C683" s="13" t="s">
        <v>705</v>
      </c>
      <c r="D683" s="40"/>
    </row>
    <row r="684" spans="1:4" ht="27.75" customHeight="1" x14ac:dyDescent="0.35">
      <c r="A684" s="42" t="s">
        <v>44</v>
      </c>
      <c r="B684" s="42"/>
      <c r="C684" s="14" t="s">
        <v>706</v>
      </c>
      <c r="D684" s="40"/>
    </row>
    <row r="685" spans="1:4" ht="27.75" customHeight="1" x14ac:dyDescent="0.35">
      <c r="A685" s="43" t="s">
        <v>46</v>
      </c>
      <c r="B685" s="43"/>
      <c r="C685" s="15" t="s">
        <v>707</v>
      </c>
      <c r="D685" s="40"/>
    </row>
    <row r="686" spans="1:4" ht="4.5" customHeight="1" x14ac:dyDescent="0.35"/>
    <row r="687" spans="1:4" ht="27.75" customHeight="1" x14ac:dyDescent="0.35">
      <c r="A687" s="38" t="s">
        <v>708</v>
      </c>
      <c r="B687" s="38"/>
      <c r="C687" s="10" t="s">
        <v>709</v>
      </c>
      <c r="D687" s="11" t="s">
        <v>39</v>
      </c>
    </row>
    <row r="688" spans="1:4" ht="27.75" customHeight="1" x14ac:dyDescent="0.35">
      <c r="A688" s="39" t="s">
        <v>40</v>
      </c>
      <c r="B688" s="39"/>
      <c r="C688" s="12" t="s">
        <v>710</v>
      </c>
      <c r="D688" s="40"/>
    </row>
    <row r="689" spans="1:4" ht="27.75" customHeight="1" x14ac:dyDescent="0.35">
      <c r="A689" s="41" t="s">
        <v>42</v>
      </c>
      <c r="B689" s="41"/>
      <c r="C689" s="13" t="s">
        <v>711</v>
      </c>
      <c r="D689" s="40"/>
    </row>
    <row r="690" spans="1:4" ht="27.75" customHeight="1" x14ac:dyDescent="0.35">
      <c r="A690" s="42" t="s">
        <v>44</v>
      </c>
      <c r="B690" s="42"/>
      <c r="C690" s="14" t="s">
        <v>712</v>
      </c>
      <c r="D690" s="40"/>
    </row>
    <row r="691" spans="1:4" ht="27.75" customHeight="1" x14ac:dyDescent="0.35">
      <c r="A691" s="43" t="s">
        <v>46</v>
      </c>
      <c r="B691" s="43"/>
      <c r="C691" s="15" t="s">
        <v>713</v>
      </c>
      <c r="D691" s="40"/>
    </row>
    <row r="692" spans="1:4" ht="4.5" customHeight="1" x14ac:dyDescent="0.35"/>
    <row r="693" spans="1:4" ht="27.75" customHeight="1" x14ac:dyDescent="0.35">
      <c r="A693" s="38" t="s">
        <v>714</v>
      </c>
      <c r="B693" s="38"/>
      <c r="C693" s="10" t="s">
        <v>715</v>
      </c>
      <c r="D693" s="11" t="s">
        <v>39</v>
      </c>
    </row>
    <row r="694" spans="1:4" ht="27.75" customHeight="1" x14ac:dyDescent="0.35">
      <c r="A694" s="39" t="s">
        <v>40</v>
      </c>
      <c r="B694" s="39"/>
      <c r="C694" s="12" t="s">
        <v>716</v>
      </c>
      <c r="D694" s="40"/>
    </row>
    <row r="695" spans="1:4" ht="27.75" customHeight="1" x14ac:dyDescent="0.35">
      <c r="A695" s="41" t="s">
        <v>42</v>
      </c>
      <c r="B695" s="41"/>
      <c r="C695" s="13" t="s">
        <v>717</v>
      </c>
      <c r="D695" s="40"/>
    </row>
    <row r="696" spans="1:4" ht="27.75" customHeight="1" x14ac:dyDescent="0.35">
      <c r="A696" s="42" t="s">
        <v>44</v>
      </c>
      <c r="B696" s="42"/>
      <c r="C696" s="14" t="s">
        <v>718</v>
      </c>
      <c r="D696" s="40"/>
    </row>
    <row r="697" spans="1:4" ht="27.75" customHeight="1" x14ac:dyDescent="0.35">
      <c r="A697" s="43" t="s">
        <v>46</v>
      </c>
      <c r="B697" s="43"/>
      <c r="C697" s="15" t="s">
        <v>719</v>
      </c>
      <c r="D697" s="40"/>
    </row>
    <row r="698" spans="1:4" ht="4.5" customHeight="1" x14ac:dyDescent="0.35"/>
    <row r="699" spans="1:4" ht="27.75" customHeight="1" x14ac:dyDescent="0.35">
      <c r="A699" s="38" t="s">
        <v>720</v>
      </c>
      <c r="B699" s="38"/>
      <c r="C699" s="10" t="s">
        <v>721</v>
      </c>
      <c r="D699" s="11" t="s">
        <v>39</v>
      </c>
    </row>
    <row r="700" spans="1:4" ht="27.75" customHeight="1" x14ac:dyDescent="0.35">
      <c r="A700" s="39" t="s">
        <v>40</v>
      </c>
      <c r="B700" s="39"/>
      <c r="C700" s="12" t="s">
        <v>722</v>
      </c>
      <c r="D700" s="40"/>
    </row>
    <row r="701" spans="1:4" ht="27.75" customHeight="1" x14ac:dyDescent="0.35">
      <c r="A701" s="41" t="s">
        <v>42</v>
      </c>
      <c r="B701" s="41"/>
      <c r="C701" s="13" t="s">
        <v>723</v>
      </c>
      <c r="D701" s="40"/>
    </row>
    <row r="702" spans="1:4" ht="27.75" customHeight="1" x14ac:dyDescent="0.35">
      <c r="A702" s="42" t="s">
        <v>44</v>
      </c>
      <c r="B702" s="42"/>
      <c r="C702" s="14" t="s">
        <v>724</v>
      </c>
      <c r="D702" s="40"/>
    </row>
    <row r="703" spans="1:4" ht="27.75" customHeight="1" x14ac:dyDescent="0.35">
      <c r="A703" s="43" t="s">
        <v>46</v>
      </c>
      <c r="B703" s="43"/>
      <c r="C703" s="15" t="s">
        <v>725</v>
      </c>
      <c r="D703" s="40"/>
    </row>
    <row r="704" spans="1:4" ht="4.5" customHeight="1" x14ac:dyDescent="0.35"/>
    <row r="705" spans="1:4" ht="27.75" customHeight="1" x14ac:dyDescent="0.35">
      <c r="A705" s="38" t="s">
        <v>726</v>
      </c>
      <c r="B705" s="38"/>
      <c r="C705" s="10" t="s">
        <v>727</v>
      </c>
      <c r="D705" s="11" t="s">
        <v>39</v>
      </c>
    </row>
    <row r="706" spans="1:4" ht="27.75" customHeight="1" x14ac:dyDescent="0.35">
      <c r="A706" s="39" t="s">
        <v>40</v>
      </c>
      <c r="B706" s="39"/>
      <c r="C706" s="12" t="s">
        <v>728</v>
      </c>
      <c r="D706" s="40"/>
    </row>
    <row r="707" spans="1:4" ht="27.75" customHeight="1" x14ac:dyDescent="0.35">
      <c r="A707" s="41" t="s">
        <v>42</v>
      </c>
      <c r="B707" s="41"/>
      <c r="C707" s="13" t="s">
        <v>729</v>
      </c>
      <c r="D707" s="40"/>
    </row>
    <row r="708" spans="1:4" ht="27.75" customHeight="1" x14ac:dyDescent="0.35">
      <c r="A708" s="42" t="s">
        <v>44</v>
      </c>
      <c r="B708" s="42"/>
      <c r="C708" s="14" t="s">
        <v>730</v>
      </c>
      <c r="D708" s="40"/>
    </row>
    <row r="709" spans="1:4" ht="27.75" customHeight="1" x14ac:dyDescent="0.35">
      <c r="A709" s="43" t="s">
        <v>46</v>
      </c>
      <c r="B709" s="43"/>
      <c r="C709" s="15" t="s">
        <v>731</v>
      </c>
      <c r="D709" s="40"/>
    </row>
    <row r="710" spans="1:4" ht="4.5" customHeight="1" x14ac:dyDescent="0.35"/>
    <row r="711" spans="1:4" ht="27.75" customHeight="1" x14ac:dyDescent="0.35">
      <c r="A711" s="38" t="s">
        <v>732</v>
      </c>
      <c r="B711" s="38"/>
      <c r="C711" s="10" t="s">
        <v>733</v>
      </c>
      <c r="D711" s="11" t="s">
        <v>39</v>
      </c>
    </row>
    <row r="712" spans="1:4" ht="27.75" customHeight="1" x14ac:dyDescent="0.35">
      <c r="A712" s="39" t="s">
        <v>40</v>
      </c>
      <c r="B712" s="39"/>
      <c r="C712" s="12" t="s">
        <v>734</v>
      </c>
      <c r="D712" s="40"/>
    </row>
    <row r="713" spans="1:4" ht="27.75" customHeight="1" x14ac:dyDescent="0.35">
      <c r="A713" s="41" t="s">
        <v>42</v>
      </c>
      <c r="B713" s="41"/>
      <c r="C713" s="13" t="s">
        <v>735</v>
      </c>
      <c r="D713" s="40"/>
    </row>
    <row r="714" spans="1:4" ht="27.75" customHeight="1" x14ac:dyDescent="0.35">
      <c r="A714" s="42" t="s">
        <v>44</v>
      </c>
      <c r="B714" s="42"/>
      <c r="C714" s="14" t="s">
        <v>736</v>
      </c>
      <c r="D714" s="40"/>
    </row>
    <row r="715" spans="1:4" ht="27.75" customHeight="1" x14ac:dyDescent="0.35">
      <c r="A715" s="43" t="s">
        <v>46</v>
      </c>
      <c r="B715" s="43"/>
      <c r="C715" s="15" t="s">
        <v>737</v>
      </c>
      <c r="D715" s="40"/>
    </row>
    <row r="716" spans="1:4" ht="4.5" customHeight="1" x14ac:dyDescent="0.35"/>
    <row r="717" spans="1:4" ht="27.75" customHeight="1" x14ac:dyDescent="0.35">
      <c r="A717" s="38" t="s">
        <v>738</v>
      </c>
      <c r="B717" s="38"/>
      <c r="C717" s="10" t="s">
        <v>739</v>
      </c>
      <c r="D717" s="11" t="s">
        <v>39</v>
      </c>
    </row>
    <row r="718" spans="1:4" ht="27.75" customHeight="1" x14ac:dyDescent="0.35">
      <c r="A718" s="39" t="s">
        <v>40</v>
      </c>
      <c r="B718" s="39"/>
      <c r="C718" s="12" t="s">
        <v>740</v>
      </c>
      <c r="D718" s="40"/>
    </row>
    <row r="719" spans="1:4" ht="27.75" customHeight="1" x14ac:dyDescent="0.35">
      <c r="A719" s="41" t="s">
        <v>42</v>
      </c>
      <c r="B719" s="41"/>
      <c r="C719" s="13" t="s">
        <v>741</v>
      </c>
      <c r="D719" s="40"/>
    </row>
    <row r="720" spans="1:4" ht="27.75" customHeight="1" x14ac:dyDescent="0.35">
      <c r="A720" s="42" t="s">
        <v>44</v>
      </c>
      <c r="B720" s="42"/>
      <c r="C720" s="14" t="s">
        <v>742</v>
      </c>
      <c r="D720" s="40"/>
    </row>
    <row r="721" spans="1:4" ht="27.75" customHeight="1" x14ac:dyDescent="0.35">
      <c r="A721" s="43" t="s">
        <v>46</v>
      </c>
      <c r="B721" s="43"/>
      <c r="C721" s="15" t="s">
        <v>743</v>
      </c>
      <c r="D721" s="40"/>
    </row>
    <row r="722" spans="1:4" ht="4.5" customHeight="1" x14ac:dyDescent="0.35"/>
    <row r="723" spans="1:4" ht="27.75" customHeight="1" x14ac:dyDescent="0.35">
      <c r="A723" s="38" t="s">
        <v>744</v>
      </c>
      <c r="B723" s="38"/>
      <c r="C723" s="10" t="s">
        <v>745</v>
      </c>
      <c r="D723" s="11" t="s">
        <v>39</v>
      </c>
    </row>
    <row r="724" spans="1:4" ht="27.75" customHeight="1" x14ac:dyDescent="0.35">
      <c r="A724" s="39" t="s">
        <v>40</v>
      </c>
      <c r="B724" s="39"/>
      <c r="C724" s="12" t="s">
        <v>746</v>
      </c>
      <c r="D724" s="40"/>
    </row>
    <row r="725" spans="1:4" ht="27.75" customHeight="1" x14ac:dyDescent="0.35">
      <c r="A725" s="41" t="s">
        <v>42</v>
      </c>
      <c r="B725" s="41"/>
      <c r="C725" s="13" t="s">
        <v>747</v>
      </c>
      <c r="D725" s="40"/>
    </row>
    <row r="726" spans="1:4" ht="27.75" customHeight="1" x14ac:dyDescent="0.35">
      <c r="A726" s="42" t="s">
        <v>44</v>
      </c>
      <c r="B726" s="42"/>
      <c r="C726" s="14" t="s">
        <v>748</v>
      </c>
      <c r="D726" s="40"/>
    </row>
    <row r="727" spans="1:4" ht="27.75" customHeight="1" x14ac:dyDescent="0.35">
      <c r="A727" s="43" t="s">
        <v>46</v>
      </c>
      <c r="B727" s="43"/>
      <c r="C727" s="15" t="s">
        <v>749</v>
      </c>
      <c r="D727" s="40"/>
    </row>
    <row r="728" spans="1:4" ht="4.5" customHeight="1" x14ac:dyDescent="0.35"/>
    <row r="729" spans="1:4" ht="6" customHeight="1" x14ac:dyDescent="0.35"/>
    <row r="730" spans="1:4" ht="24" customHeight="1" x14ac:dyDescent="0.35">
      <c r="A730" s="44" t="s">
        <v>750</v>
      </c>
      <c r="B730" s="44"/>
      <c r="C730" s="44"/>
      <c r="D730" s="44"/>
    </row>
    <row r="731" spans="1:4" ht="3.75" customHeight="1" x14ac:dyDescent="0.35"/>
    <row r="732" spans="1:4" ht="27.75" customHeight="1" x14ac:dyDescent="0.35">
      <c r="A732" s="38" t="s">
        <v>751</v>
      </c>
      <c r="B732" s="38"/>
      <c r="C732" s="10" t="s">
        <v>752</v>
      </c>
      <c r="D732" s="11" t="s">
        <v>39</v>
      </c>
    </row>
    <row r="733" spans="1:4" ht="27.75" customHeight="1" x14ac:dyDescent="0.35">
      <c r="A733" s="39" t="s">
        <v>40</v>
      </c>
      <c r="B733" s="39"/>
      <c r="C733" s="12" t="s">
        <v>753</v>
      </c>
      <c r="D733" s="40"/>
    </row>
    <row r="734" spans="1:4" ht="27.75" customHeight="1" x14ac:dyDescent="0.35">
      <c r="A734" s="41" t="s">
        <v>42</v>
      </c>
      <c r="B734" s="41"/>
      <c r="C734" s="13" t="s">
        <v>754</v>
      </c>
      <c r="D734" s="40"/>
    </row>
    <row r="735" spans="1:4" ht="27.75" customHeight="1" x14ac:dyDescent="0.35">
      <c r="A735" s="42" t="s">
        <v>44</v>
      </c>
      <c r="B735" s="42"/>
      <c r="C735" s="14" t="s">
        <v>755</v>
      </c>
      <c r="D735" s="40"/>
    </row>
    <row r="736" spans="1:4" ht="27.75" customHeight="1" x14ac:dyDescent="0.35">
      <c r="A736" s="43" t="s">
        <v>46</v>
      </c>
      <c r="B736" s="43"/>
      <c r="C736" s="15" t="s">
        <v>756</v>
      </c>
      <c r="D736" s="40"/>
    </row>
    <row r="737" spans="1:4" ht="4.5" customHeight="1" x14ac:dyDescent="0.35"/>
    <row r="738" spans="1:4" ht="27.75" customHeight="1" x14ac:dyDescent="0.35">
      <c r="A738" s="38" t="s">
        <v>757</v>
      </c>
      <c r="B738" s="38"/>
      <c r="C738" s="10" t="s">
        <v>758</v>
      </c>
      <c r="D738" s="11" t="s">
        <v>39</v>
      </c>
    </row>
    <row r="739" spans="1:4" ht="27.75" customHeight="1" x14ac:dyDescent="0.35">
      <c r="A739" s="39" t="s">
        <v>40</v>
      </c>
      <c r="B739" s="39"/>
      <c r="C739" s="12" t="s">
        <v>759</v>
      </c>
      <c r="D739" s="40"/>
    </row>
    <row r="740" spans="1:4" ht="27.75" customHeight="1" x14ac:dyDescent="0.35">
      <c r="A740" s="41" t="s">
        <v>42</v>
      </c>
      <c r="B740" s="41"/>
      <c r="C740" s="13" t="s">
        <v>760</v>
      </c>
      <c r="D740" s="40"/>
    </row>
    <row r="741" spans="1:4" ht="27.75" customHeight="1" x14ac:dyDescent="0.35">
      <c r="A741" s="42" t="s">
        <v>44</v>
      </c>
      <c r="B741" s="42"/>
      <c r="C741" s="14" t="s">
        <v>761</v>
      </c>
      <c r="D741" s="40"/>
    </row>
    <row r="742" spans="1:4" ht="27.75" customHeight="1" x14ac:dyDescent="0.35">
      <c r="A742" s="43" t="s">
        <v>46</v>
      </c>
      <c r="B742" s="43"/>
      <c r="C742" s="15" t="s">
        <v>762</v>
      </c>
      <c r="D742" s="40"/>
    </row>
    <row r="743" spans="1:4" ht="4.5" customHeight="1" x14ac:dyDescent="0.35"/>
    <row r="744" spans="1:4" ht="27.75" customHeight="1" x14ac:dyDescent="0.35">
      <c r="A744" s="38" t="s">
        <v>763</v>
      </c>
      <c r="B744" s="38"/>
      <c r="C744" s="10" t="s">
        <v>764</v>
      </c>
      <c r="D744" s="11" t="s">
        <v>39</v>
      </c>
    </row>
    <row r="745" spans="1:4" ht="27.75" customHeight="1" x14ac:dyDescent="0.35">
      <c r="A745" s="39" t="s">
        <v>40</v>
      </c>
      <c r="B745" s="39"/>
      <c r="C745" s="12" t="s">
        <v>765</v>
      </c>
      <c r="D745" s="40"/>
    </row>
    <row r="746" spans="1:4" ht="27.75" customHeight="1" x14ac:dyDescent="0.35">
      <c r="A746" s="41" t="s">
        <v>42</v>
      </c>
      <c r="B746" s="41"/>
      <c r="C746" s="13" t="s">
        <v>766</v>
      </c>
      <c r="D746" s="40"/>
    </row>
    <row r="747" spans="1:4" ht="27.75" customHeight="1" x14ac:dyDescent="0.35">
      <c r="A747" s="42" t="s">
        <v>44</v>
      </c>
      <c r="B747" s="42"/>
      <c r="C747" s="14" t="s">
        <v>767</v>
      </c>
      <c r="D747" s="40"/>
    </row>
    <row r="748" spans="1:4" ht="27.75" customHeight="1" x14ac:dyDescent="0.35">
      <c r="A748" s="43" t="s">
        <v>46</v>
      </c>
      <c r="B748" s="43"/>
      <c r="C748" s="15" t="s">
        <v>768</v>
      </c>
      <c r="D748" s="40"/>
    </row>
    <row r="749" spans="1:4" ht="4.5" customHeight="1" x14ac:dyDescent="0.35"/>
    <row r="750" spans="1:4" ht="27.75" customHeight="1" x14ac:dyDescent="0.35">
      <c r="A750" s="38" t="s">
        <v>769</v>
      </c>
      <c r="B750" s="38"/>
      <c r="C750" s="10" t="s">
        <v>770</v>
      </c>
      <c r="D750" s="11" t="s">
        <v>39</v>
      </c>
    </row>
    <row r="751" spans="1:4" ht="27.75" customHeight="1" x14ac:dyDescent="0.35">
      <c r="A751" s="39" t="s">
        <v>40</v>
      </c>
      <c r="B751" s="39"/>
      <c r="C751" s="12" t="s">
        <v>771</v>
      </c>
      <c r="D751" s="40"/>
    </row>
    <row r="752" spans="1:4" ht="27.75" customHeight="1" x14ac:dyDescent="0.35">
      <c r="A752" s="41" t="s">
        <v>42</v>
      </c>
      <c r="B752" s="41"/>
      <c r="C752" s="13" t="s">
        <v>772</v>
      </c>
      <c r="D752" s="40"/>
    </row>
    <row r="753" spans="1:4" ht="27.75" customHeight="1" x14ac:dyDescent="0.35">
      <c r="A753" s="42" t="s">
        <v>44</v>
      </c>
      <c r="B753" s="42"/>
      <c r="C753" s="14" t="s">
        <v>773</v>
      </c>
      <c r="D753" s="40"/>
    </row>
    <row r="754" spans="1:4" ht="27.75" customHeight="1" x14ac:dyDescent="0.35">
      <c r="A754" s="43" t="s">
        <v>46</v>
      </c>
      <c r="B754" s="43"/>
      <c r="C754" s="15" t="s">
        <v>774</v>
      </c>
      <c r="D754" s="40"/>
    </row>
    <row r="755" spans="1:4" ht="4.5" customHeight="1" x14ac:dyDescent="0.35"/>
    <row r="756" spans="1:4" ht="27.75" customHeight="1" x14ac:dyDescent="0.35">
      <c r="A756" s="38" t="s">
        <v>775</v>
      </c>
      <c r="B756" s="38"/>
      <c r="C756" s="10" t="s">
        <v>776</v>
      </c>
      <c r="D756" s="11" t="s">
        <v>39</v>
      </c>
    </row>
    <row r="757" spans="1:4" ht="27.75" customHeight="1" x14ac:dyDescent="0.35">
      <c r="A757" s="39" t="s">
        <v>40</v>
      </c>
      <c r="B757" s="39"/>
      <c r="C757" s="12" t="s">
        <v>777</v>
      </c>
      <c r="D757" s="40"/>
    </row>
    <row r="758" spans="1:4" ht="27.75" customHeight="1" x14ac:dyDescent="0.35">
      <c r="A758" s="41" t="s">
        <v>42</v>
      </c>
      <c r="B758" s="41"/>
      <c r="C758" s="13" t="s">
        <v>778</v>
      </c>
      <c r="D758" s="40"/>
    </row>
    <row r="759" spans="1:4" ht="27.75" customHeight="1" x14ac:dyDescent="0.35">
      <c r="A759" s="42" t="s">
        <v>44</v>
      </c>
      <c r="B759" s="42"/>
      <c r="C759" s="14" t="s">
        <v>779</v>
      </c>
      <c r="D759" s="40"/>
    </row>
    <row r="760" spans="1:4" ht="27.75" customHeight="1" x14ac:dyDescent="0.35">
      <c r="A760" s="43" t="s">
        <v>46</v>
      </c>
      <c r="B760" s="43"/>
      <c r="C760" s="15" t="s">
        <v>780</v>
      </c>
      <c r="D760" s="40"/>
    </row>
    <row r="761" spans="1:4" ht="4.5" customHeight="1" x14ac:dyDescent="0.35"/>
    <row r="762" spans="1:4" ht="27.75" customHeight="1" x14ac:dyDescent="0.35">
      <c r="A762" s="38" t="s">
        <v>781</v>
      </c>
      <c r="B762" s="38"/>
      <c r="C762" s="10" t="s">
        <v>782</v>
      </c>
      <c r="D762" s="11" t="s">
        <v>39</v>
      </c>
    </row>
    <row r="763" spans="1:4" ht="27.75" customHeight="1" x14ac:dyDescent="0.35">
      <c r="A763" s="39" t="s">
        <v>40</v>
      </c>
      <c r="B763" s="39"/>
      <c r="C763" s="12" t="s">
        <v>783</v>
      </c>
      <c r="D763" s="40"/>
    </row>
    <row r="764" spans="1:4" ht="27.75" customHeight="1" x14ac:dyDescent="0.35">
      <c r="A764" s="41" t="s">
        <v>42</v>
      </c>
      <c r="B764" s="41"/>
      <c r="C764" s="13" t="s">
        <v>784</v>
      </c>
      <c r="D764" s="40"/>
    </row>
    <row r="765" spans="1:4" ht="27.75" customHeight="1" x14ac:dyDescent="0.35">
      <c r="A765" s="42" t="s">
        <v>44</v>
      </c>
      <c r="B765" s="42"/>
      <c r="C765" s="14" t="s">
        <v>785</v>
      </c>
      <c r="D765" s="40"/>
    </row>
    <row r="766" spans="1:4" ht="27.75" customHeight="1" x14ac:dyDescent="0.35">
      <c r="A766" s="43" t="s">
        <v>46</v>
      </c>
      <c r="B766" s="43"/>
      <c r="C766" s="15" t="s">
        <v>786</v>
      </c>
      <c r="D766" s="40"/>
    </row>
    <row r="767" spans="1:4" ht="4.5" customHeight="1" x14ac:dyDescent="0.35"/>
    <row r="768" spans="1:4" ht="27.75" customHeight="1" x14ac:dyDescent="0.35">
      <c r="A768" s="38" t="s">
        <v>787</v>
      </c>
      <c r="B768" s="38"/>
      <c r="C768" s="10" t="s">
        <v>788</v>
      </c>
      <c r="D768" s="11" t="s">
        <v>39</v>
      </c>
    </row>
    <row r="769" spans="1:4" ht="27.75" customHeight="1" x14ac:dyDescent="0.35">
      <c r="A769" s="39" t="s">
        <v>40</v>
      </c>
      <c r="B769" s="39"/>
      <c r="C769" s="12" t="s">
        <v>789</v>
      </c>
      <c r="D769" s="40"/>
    </row>
    <row r="770" spans="1:4" ht="27.75" customHeight="1" x14ac:dyDescent="0.35">
      <c r="A770" s="41" t="s">
        <v>42</v>
      </c>
      <c r="B770" s="41"/>
      <c r="C770" s="13" t="s">
        <v>790</v>
      </c>
      <c r="D770" s="40"/>
    </row>
    <row r="771" spans="1:4" ht="27.75" customHeight="1" x14ac:dyDescent="0.35">
      <c r="A771" s="42" t="s">
        <v>44</v>
      </c>
      <c r="B771" s="42"/>
      <c r="C771" s="14" t="s">
        <v>791</v>
      </c>
      <c r="D771" s="40"/>
    </row>
    <row r="772" spans="1:4" ht="27.75" customHeight="1" x14ac:dyDescent="0.35">
      <c r="A772" s="43" t="s">
        <v>46</v>
      </c>
      <c r="B772" s="43"/>
      <c r="C772" s="15" t="s">
        <v>792</v>
      </c>
      <c r="D772" s="40"/>
    </row>
    <row r="773" spans="1:4" ht="4.5" customHeight="1" x14ac:dyDescent="0.35"/>
    <row r="774" spans="1:4" ht="27.75" customHeight="1" x14ac:dyDescent="0.35">
      <c r="A774" s="38" t="s">
        <v>793</v>
      </c>
      <c r="B774" s="38"/>
      <c r="C774" s="10" t="s">
        <v>794</v>
      </c>
      <c r="D774" s="11" t="s">
        <v>39</v>
      </c>
    </row>
    <row r="775" spans="1:4" ht="27.75" customHeight="1" x14ac:dyDescent="0.35">
      <c r="A775" s="39" t="s">
        <v>40</v>
      </c>
      <c r="B775" s="39"/>
      <c r="C775" s="12" t="s">
        <v>795</v>
      </c>
      <c r="D775" s="40"/>
    </row>
    <row r="776" spans="1:4" ht="27.75" customHeight="1" x14ac:dyDescent="0.35">
      <c r="A776" s="41" t="s">
        <v>42</v>
      </c>
      <c r="B776" s="41"/>
      <c r="C776" s="13" t="s">
        <v>796</v>
      </c>
      <c r="D776" s="40"/>
    </row>
    <row r="777" spans="1:4" ht="27.75" customHeight="1" x14ac:dyDescent="0.35">
      <c r="A777" s="42" t="s">
        <v>44</v>
      </c>
      <c r="B777" s="42"/>
      <c r="C777" s="14" t="s">
        <v>797</v>
      </c>
      <c r="D777" s="40"/>
    </row>
    <row r="778" spans="1:4" ht="27.75" customHeight="1" x14ac:dyDescent="0.35">
      <c r="A778" s="43" t="s">
        <v>46</v>
      </c>
      <c r="B778" s="43"/>
      <c r="C778" s="15" t="s">
        <v>798</v>
      </c>
      <c r="D778" s="40"/>
    </row>
    <row r="779" spans="1:4" ht="4.5" customHeight="1" x14ac:dyDescent="0.35"/>
    <row r="780" spans="1:4" ht="27.75" customHeight="1" x14ac:dyDescent="0.35">
      <c r="A780" s="38" t="s">
        <v>799</v>
      </c>
      <c r="B780" s="38"/>
      <c r="C780" s="10" t="s">
        <v>800</v>
      </c>
      <c r="D780" s="11" t="s">
        <v>39</v>
      </c>
    </row>
    <row r="781" spans="1:4" ht="27.75" customHeight="1" x14ac:dyDescent="0.35">
      <c r="A781" s="39" t="s">
        <v>40</v>
      </c>
      <c r="B781" s="39"/>
      <c r="C781" s="12" t="s">
        <v>801</v>
      </c>
      <c r="D781" s="40"/>
    </row>
    <row r="782" spans="1:4" ht="27.75" customHeight="1" x14ac:dyDescent="0.35">
      <c r="A782" s="41" t="s">
        <v>42</v>
      </c>
      <c r="B782" s="41"/>
      <c r="C782" s="13" t="s">
        <v>802</v>
      </c>
      <c r="D782" s="40"/>
    </row>
    <row r="783" spans="1:4" ht="27.75" customHeight="1" x14ac:dyDescent="0.35">
      <c r="A783" s="42" t="s">
        <v>44</v>
      </c>
      <c r="B783" s="42"/>
      <c r="C783" s="14" t="s">
        <v>803</v>
      </c>
      <c r="D783" s="40"/>
    </row>
    <row r="784" spans="1:4" ht="27.75" customHeight="1" x14ac:dyDescent="0.35">
      <c r="A784" s="43" t="s">
        <v>46</v>
      </c>
      <c r="B784" s="43"/>
      <c r="C784" s="15" t="s">
        <v>804</v>
      </c>
      <c r="D784" s="40"/>
    </row>
    <row r="785" spans="1:4" ht="4.5" customHeight="1" x14ac:dyDescent="0.35"/>
    <row r="786" spans="1:4" ht="27.75" customHeight="1" x14ac:dyDescent="0.35">
      <c r="A786" s="38" t="s">
        <v>805</v>
      </c>
      <c r="B786" s="38"/>
      <c r="C786" s="10" t="s">
        <v>806</v>
      </c>
      <c r="D786" s="11" t="s">
        <v>39</v>
      </c>
    </row>
    <row r="787" spans="1:4" ht="27.75" customHeight="1" x14ac:dyDescent="0.35">
      <c r="A787" s="39" t="s">
        <v>40</v>
      </c>
      <c r="B787" s="39"/>
      <c r="C787" s="12" t="s">
        <v>807</v>
      </c>
      <c r="D787" s="40"/>
    </row>
    <row r="788" spans="1:4" ht="27.75" customHeight="1" x14ac:dyDescent="0.35">
      <c r="A788" s="41" t="s">
        <v>42</v>
      </c>
      <c r="B788" s="41"/>
      <c r="C788" s="13" t="s">
        <v>808</v>
      </c>
      <c r="D788" s="40"/>
    </row>
    <row r="789" spans="1:4" ht="27.75" customHeight="1" x14ac:dyDescent="0.35">
      <c r="A789" s="42" t="s">
        <v>44</v>
      </c>
      <c r="B789" s="42"/>
      <c r="C789" s="14" t="s">
        <v>809</v>
      </c>
      <c r="D789" s="40"/>
    </row>
    <row r="790" spans="1:4" ht="27.75" customHeight="1" x14ac:dyDescent="0.35">
      <c r="A790" s="43" t="s">
        <v>46</v>
      </c>
      <c r="B790" s="43"/>
      <c r="C790" s="15" t="s">
        <v>810</v>
      </c>
      <c r="D790" s="40"/>
    </row>
    <row r="791" spans="1:4" ht="4.5" customHeight="1" x14ac:dyDescent="0.35"/>
    <row r="792" spans="1:4" ht="27.75" customHeight="1" x14ac:dyDescent="0.35">
      <c r="A792" s="38" t="s">
        <v>811</v>
      </c>
      <c r="B792" s="38"/>
      <c r="C792" s="10" t="s">
        <v>812</v>
      </c>
      <c r="D792" s="11" t="s">
        <v>39</v>
      </c>
    </row>
    <row r="793" spans="1:4" ht="27.75" customHeight="1" x14ac:dyDescent="0.35">
      <c r="A793" s="39" t="s">
        <v>40</v>
      </c>
      <c r="B793" s="39"/>
      <c r="C793" s="12" t="s">
        <v>813</v>
      </c>
      <c r="D793" s="40"/>
    </row>
    <row r="794" spans="1:4" ht="27.75" customHeight="1" x14ac:dyDescent="0.35">
      <c r="A794" s="41" t="s">
        <v>42</v>
      </c>
      <c r="B794" s="41"/>
      <c r="C794" s="13" t="s">
        <v>814</v>
      </c>
      <c r="D794" s="40"/>
    </row>
    <row r="795" spans="1:4" ht="27.75" customHeight="1" x14ac:dyDescent="0.35">
      <c r="A795" s="42" t="s">
        <v>44</v>
      </c>
      <c r="B795" s="42"/>
      <c r="C795" s="14" t="s">
        <v>815</v>
      </c>
      <c r="D795" s="40"/>
    </row>
    <row r="796" spans="1:4" ht="27.75" customHeight="1" x14ac:dyDescent="0.35">
      <c r="A796" s="43" t="s">
        <v>46</v>
      </c>
      <c r="B796" s="43"/>
      <c r="C796" s="15" t="s">
        <v>816</v>
      </c>
      <c r="D796" s="40"/>
    </row>
    <row r="797" spans="1:4" ht="4.5" customHeight="1" x14ac:dyDescent="0.35"/>
    <row r="798" spans="1:4" ht="27.75" customHeight="1" x14ac:dyDescent="0.35">
      <c r="A798" s="38" t="s">
        <v>817</v>
      </c>
      <c r="B798" s="38"/>
      <c r="C798" s="10" t="s">
        <v>818</v>
      </c>
      <c r="D798" s="11" t="s">
        <v>39</v>
      </c>
    </row>
    <row r="799" spans="1:4" ht="27.75" customHeight="1" x14ac:dyDescent="0.35">
      <c r="A799" s="39" t="s">
        <v>40</v>
      </c>
      <c r="B799" s="39"/>
      <c r="C799" s="12" t="s">
        <v>819</v>
      </c>
      <c r="D799" s="40"/>
    </row>
    <row r="800" spans="1:4" ht="27.75" customHeight="1" x14ac:dyDescent="0.35">
      <c r="A800" s="41" t="s">
        <v>42</v>
      </c>
      <c r="B800" s="41"/>
      <c r="C800" s="13" t="s">
        <v>820</v>
      </c>
      <c r="D800" s="40"/>
    </row>
    <row r="801" spans="1:4" ht="27.75" customHeight="1" x14ac:dyDescent="0.35">
      <c r="A801" s="42" t="s">
        <v>44</v>
      </c>
      <c r="B801" s="42"/>
      <c r="C801" s="14" t="s">
        <v>821</v>
      </c>
      <c r="D801" s="40"/>
    </row>
    <row r="802" spans="1:4" ht="27.75" customHeight="1" x14ac:dyDescent="0.35">
      <c r="A802" s="43" t="s">
        <v>46</v>
      </c>
      <c r="B802" s="43"/>
      <c r="C802" s="15" t="s">
        <v>822</v>
      </c>
      <c r="D802" s="40"/>
    </row>
    <row r="803" spans="1:4" ht="4.5" customHeight="1" x14ac:dyDescent="0.35"/>
    <row r="804" spans="1:4" ht="27.75" customHeight="1" x14ac:dyDescent="0.35">
      <c r="A804" s="38" t="s">
        <v>823</v>
      </c>
      <c r="B804" s="38"/>
      <c r="C804" s="10" t="s">
        <v>824</v>
      </c>
      <c r="D804" s="11" t="s">
        <v>39</v>
      </c>
    </row>
    <row r="805" spans="1:4" ht="27.75" customHeight="1" x14ac:dyDescent="0.35">
      <c r="A805" s="39" t="s">
        <v>40</v>
      </c>
      <c r="B805" s="39"/>
      <c r="C805" s="12" t="s">
        <v>825</v>
      </c>
      <c r="D805" s="40"/>
    </row>
    <row r="806" spans="1:4" ht="27.75" customHeight="1" x14ac:dyDescent="0.35">
      <c r="A806" s="41" t="s">
        <v>42</v>
      </c>
      <c r="B806" s="41"/>
      <c r="C806" s="13" t="s">
        <v>826</v>
      </c>
      <c r="D806" s="40"/>
    </row>
    <row r="807" spans="1:4" ht="27.75" customHeight="1" x14ac:dyDescent="0.35">
      <c r="A807" s="42" t="s">
        <v>44</v>
      </c>
      <c r="B807" s="42"/>
      <c r="C807" s="14" t="s">
        <v>827</v>
      </c>
      <c r="D807" s="40"/>
    </row>
    <row r="808" spans="1:4" ht="27.75" customHeight="1" x14ac:dyDescent="0.35">
      <c r="A808" s="43" t="s">
        <v>46</v>
      </c>
      <c r="B808" s="43"/>
      <c r="C808" s="15" t="s">
        <v>828</v>
      </c>
      <c r="D808" s="40"/>
    </row>
    <row r="809" spans="1:4" ht="4.5" customHeight="1" x14ac:dyDescent="0.35"/>
    <row r="810" spans="1:4" ht="27.75" customHeight="1" x14ac:dyDescent="0.35">
      <c r="A810" s="38" t="s">
        <v>829</v>
      </c>
      <c r="B810" s="38"/>
      <c r="C810" s="10" t="s">
        <v>830</v>
      </c>
      <c r="D810" s="11" t="s">
        <v>39</v>
      </c>
    </row>
    <row r="811" spans="1:4" ht="27.75" customHeight="1" x14ac:dyDescent="0.35">
      <c r="A811" s="39" t="s">
        <v>40</v>
      </c>
      <c r="B811" s="39"/>
      <c r="C811" s="12" t="s">
        <v>831</v>
      </c>
      <c r="D811" s="40"/>
    </row>
    <row r="812" spans="1:4" ht="27.75" customHeight="1" x14ac:dyDescent="0.35">
      <c r="A812" s="41" t="s">
        <v>42</v>
      </c>
      <c r="B812" s="41"/>
      <c r="C812" s="13" t="s">
        <v>832</v>
      </c>
      <c r="D812" s="40"/>
    </row>
    <row r="813" spans="1:4" ht="27.75" customHeight="1" x14ac:dyDescent="0.35">
      <c r="A813" s="42" t="s">
        <v>44</v>
      </c>
      <c r="B813" s="42"/>
      <c r="C813" s="14" t="s">
        <v>833</v>
      </c>
      <c r="D813" s="40"/>
    </row>
    <row r="814" spans="1:4" ht="27.75" customHeight="1" x14ac:dyDescent="0.35">
      <c r="A814" s="43" t="s">
        <v>46</v>
      </c>
      <c r="B814" s="43"/>
      <c r="C814" s="15" t="s">
        <v>834</v>
      </c>
      <c r="D814" s="40"/>
    </row>
    <row r="815" spans="1:4" ht="4.5" customHeight="1" x14ac:dyDescent="0.35"/>
    <row r="816" spans="1:4" ht="27.75" customHeight="1" x14ac:dyDescent="0.35">
      <c r="A816" s="38" t="s">
        <v>835</v>
      </c>
      <c r="B816" s="38"/>
      <c r="C816" s="10" t="s">
        <v>836</v>
      </c>
      <c r="D816" s="11" t="s">
        <v>39</v>
      </c>
    </row>
    <row r="817" spans="1:4" ht="27.75" customHeight="1" x14ac:dyDescent="0.35">
      <c r="A817" s="39" t="s">
        <v>40</v>
      </c>
      <c r="B817" s="39"/>
      <c r="C817" s="12" t="s">
        <v>837</v>
      </c>
      <c r="D817" s="40"/>
    </row>
    <row r="818" spans="1:4" ht="27.75" customHeight="1" x14ac:dyDescent="0.35">
      <c r="A818" s="41" t="s">
        <v>42</v>
      </c>
      <c r="B818" s="41"/>
      <c r="C818" s="13" t="s">
        <v>838</v>
      </c>
      <c r="D818" s="40"/>
    </row>
    <row r="819" spans="1:4" ht="27.75" customHeight="1" x14ac:dyDescent="0.35">
      <c r="A819" s="42" t="s">
        <v>44</v>
      </c>
      <c r="B819" s="42"/>
      <c r="C819" s="14" t="s">
        <v>839</v>
      </c>
      <c r="D819" s="40"/>
    </row>
    <row r="820" spans="1:4" ht="27.75" customHeight="1" x14ac:dyDescent="0.35">
      <c r="A820" s="43" t="s">
        <v>46</v>
      </c>
      <c r="B820" s="43"/>
      <c r="C820" s="15" t="s">
        <v>840</v>
      </c>
      <c r="D820" s="40"/>
    </row>
    <row r="821" spans="1:4" ht="4.5" customHeight="1" x14ac:dyDescent="0.35"/>
    <row r="822" spans="1:4" ht="27.75" customHeight="1" x14ac:dyDescent="0.35">
      <c r="A822" s="38" t="s">
        <v>841</v>
      </c>
      <c r="B822" s="38"/>
      <c r="C822" s="10" t="s">
        <v>842</v>
      </c>
      <c r="D822" s="11" t="s">
        <v>39</v>
      </c>
    </row>
    <row r="823" spans="1:4" ht="27.75" customHeight="1" x14ac:dyDescent="0.35">
      <c r="A823" s="39" t="s">
        <v>40</v>
      </c>
      <c r="B823" s="39"/>
      <c r="C823" s="12" t="s">
        <v>843</v>
      </c>
      <c r="D823" s="40"/>
    </row>
    <row r="824" spans="1:4" ht="27.75" customHeight="1" x14ac:dyDescent="0.35">
      <c r="A824" s="41" t="s">
        <v>42</v>
      </c>
      <c r="B824" s="41"/>
      <c r="C824" s="13" t="s">
        <v>844</v>
      </c>
      <c r="D824" s="40"/>
    </row>
    <row r="825" spans="1:4" ht="27.75" customHeight="1" x14ac:dyDescent="0.35">
      <c r="A825" s="42" t="s">
        <v>44</v>
      </c>
      <c r="B825" s="42"/>
      <c r="C825" s="14" t="s">
        <v>845</v>
      </c>
      <c r="D825" s="40"/>
    </row>
    <row r="826" spans="1:4" ht="27.75" customHeight="1" x14ac:dyDescent="0.35">
      <c r="A826" s="43" t="s">
        <v>46</v>
      </c>
      <c r="B826" s="43"/>
      <c r="C826" s="15" t="s">
        <v>846</v>
      </c>
      <c r="D826" s="40"/>
    </row>
    <row r="827" spans="1:4" ht="4.5" customHeight="1" x14ac:dyDescent="0.35"/>
    <row r="828" spans="1:4" ht="27.75" customHeight="1" x14ac:dyDescent="0.35">
      <c r="A828" s="38" t="s">
        <v>847</v>
      </c>
      <c r="B828" s="38"/>
      <c r="C828" s="10" t="s">
        <v>848</v>
      </c>
      <c r="D828" s="11" t="s">
        <v>39</v>
      </c>
    </row>
    <row r="829" spans="1:4" ht="27.75" customHeight="1" x14ac:dyDescent="0.35">
      <c r="A829" s="39" t="s">
        <v>40</v>
      </c>
      <c r="B829" s="39"/>
      <c r="C829" s="12" t="s">
        <v>849</v>
      </c>
      <c r="D829" s="40"/>
    </row>
    <row r="830" spans="1:4" ht="27.75" customHeight="1" x14ac:dyDescent="0.35">
      <c r="A830" s="41" t="s">
        <v>42</v>
      </c>
      <c r="B830" s="41"/>
      <c r="C830" s="13" t="s">
        <v>850</v>
      </c>
      <c r="D830" s="40"/>
    </row>
    <row r="831" spans="1:4" ht="27.75" customHeight="1" x14ac:dyDescent="0.35">
      <c r="A831" s="42" t="s">
        <v>44</v>
      </c>
      <c r="B831" s="42"/>
      <c r="C831" s="14" t="s">
        <v>851</v>
      </c>
      <c r="D831" s="40"/>
    </row>
    <row r="832" spans="1:4" ht="27.75" customHeight="1" x14ac:dyDescent="0.35">
      <c r="A832" s="43" t="s">
        <v>46</v>
      </c>
      <c r="B832" s="43"/>
      <c r="C832" s="15" t="s">
        <v>852</v>
      </c>
      <c r="D832" s="40"/>
    </row>
    <row r="833" spans="1:4" ht="4.5" customHeight="1" x14ac:dyDescent="0.35"/>
    <row r="834" spans="1:4" ht="27.75" customHeight="1" x14ac:dyDescent="0.35">
      <c r="A834" s="38" t="s">
        <v>853</v>
      </c>
      <c r="B834" s="38"/>
      <c r="C834" s="10" t="s">
        <v>854</v>
      </c>
      <c r="D834" s="11" t="s">
        <v>39</v>
      </c>
    </row>
    <row r="835" spans="1:4" ht="27.75" customHeight="1" x14ac:dyDescent="0.35">
      <c r="A835" s="39" t="s">
        <v>40</v>
      </c>
      <c r="B835" s="39"/>
      <c r="C835" s="12" t="s">
        <v>855</v>
      </c>
      <c r="D835" s="40"/>
    </row>
    <row r="836" spans="1:4" ht="27.75" customHeight="1" x14ac:dyDescent="0.35">
      <c r="A836" s="41" t="s">
        <v>42</v>
      </c>
      <c r="B836" s="41"/>
      <c r="C836" s="13" t="s">
        <v>856</v>
      </c>
      <c r="D836" s="40"/>
    </row>
    <row r="837" spans="1:4" ht="27.75" customHeight="1" x14ac:dyDescent="0.35">
      <c r="A837" s="42" t="s">
        <v>44</v>
      </c>
      <c r="B837" s="42"/>
      <c r="C837" s="14" t="s">
        <v>857</v>
      </c>
      <c r="D837" s="40"/>
    </row>
    <row r="838" spans="1:4" ht="27.75" customHeight="1" x14ac:dyDescent="0.35">
      <c r="A838" s="43" t="s">
        <v>46</v>
      </c>
      <c r="B838" s="43"/>
      <c r="C838" s="15" t="s">
        <v>858</v>
      </c>
      <c r="D838" s="40"/>
    </row>
    <row r="839" spans="1:4" ht="4.5" customHeight="1" x14ac:dyDescent="0.35"/>
  </sheetData>
  <mergeCells count="820">
    <mergeCell ref="A1:D1"/>
    <mergeCell ref="A2:D2"/>
    <mergeCell ref="A7:D7"/>
    <mergeCell ref="A9:B9"/>
    <mergeCell ref="A10:B10"/>
    <mergeCell ref="D10:D13"/>
    <mergeCell ref="A11:B11"/>
    <mergeCell ref="A12:B12"/>
    <mergeCell ref="A13:B13"/>
    <mergeCell ref="A15:B15"/>
    <mergeCell ref="A16:B16"/>
    <mergeCell ref="D16:D19"/>
    <mergeCell ref="A17:B17"/>
    <mergeCell ref="A18:B18"/>
    <mergeCell ref="A19:B19"/>
    <mergeCell ref="A21:B21"/>
    <mergeCell ref="A22:B22"/>
    <mergeCell ref="D22:D25"/>
    <mergeCell ref="A23:B23"/>
    <mergeCell ref="A24:B24"/>
    <mergeCell ref="A25:B25"/>
    <mergeCell ref="A27:B27"/>
    <mergeCell ref="A28:B28"/>
    <mergeCell ref="D28:D31"/>
    <mergeCell ref="A29:B29"/>
    <mergeCell ref="A30:B30"/>
    <mergeCell ref="A31:B31"/>
    <mergeCell ref="A33:B33"/>
    <mergeCell ref="A34:B34"/>
    <mergeCell ref="D34:D37"/>
    <mergeCell ref="A35:B35"/>
    <mergeCell ref="A36:B36"/>
    <mergeCell ref="A37:B37"/>
    <mergeCell ref="A39:B39"/>
    <mergeCell ref="A40:B40"/>
    <mergeCell ref="D40:D43"/>
    <mergeCell ref="A41:B41"/>
    <mergeCell ref="A42:B42"/>
    <mergeCell ref="A43:B43"/>
    <mergeCell ref="A45:B45"/>
    <mergeCell ref="A46:B46"/>
    <mergeCell ref="D46:D49"/>
    <mergeCell ref="A47:B47"/>
    <mergeCell ref="A48:B48"/>
    <mergeCell ref="A49:B49"/>
    <mergeCell ref="A51:B51"/>
    <mergeCell ref="A52:B52"/>
    <mergeCell ref="D52:D55"/>
    <mergeCell ref="A53:B53"/>
    <mergeCell ref="A54:B54"/>
    <mergeCell ref="A55:B55"/>
    <mergeCell ref="A57:B57"/>
    <mergeCell ref="A58:B58"/>
    <mergeCell ref="D58:D61"/>
    <mergeCell ref="A59:B59"/>
    <mergeCell ref="A60:B60"/>
    <mergeCell ref="A61:B61"/>
    <mergeCell ref="A63:B63"/>
    <mergeCell ref="A64:B64"/>
    <mergeCell ref="D64:D67"/>
    <mergeCell ref="A65:B65"/>
    <mergeCell ref="A66:B66"/>
    <mergeCell ref="A67:B67"/>
    <mergeCell ref="A69:B69"/>
    <mergeCell ref="A70:B70"/>
    <mergeCell ref="D70:D73"/>
    <mergeCell ref="A71:B71"/>
    <mergeCell ref="A72:B72"/>
    <mergeCell ref="A73:B73"/>
    <mergeCell ref="A75:B75"/>
    <mergeCell ref="A76:B76"/>
    <mergeCell ref="D76:D79"/>
    <mergeCell ref="A77:B77"/>
    <mergeCell ref="A78:B78"/>
    <mergeCell ref="A79:B79"/>
    <mergeCell ref="A81:B81"/>
    <mergeCell ref="A82:B82"/>
    <mergeCell ref="D82:D85"/>
    <mergeCell ref="A83:B83"/>
    <mergeCell ref="A84:B84"/>
    <mergeCell ref="A85:B85"/>
    <mergeCell ref="A87:B87"/>
    <mergeCell ref="A88:B88"/>
    <mergeCell ref="D88:D91"/>
    <mergeCell ref="A89:B89"/>
    <mergeCell ref="A90:B90"/>
    <mergeCell ref="A91:B91"/>
    <mergeCell ref="A93:B93"/>
    <mergeCell ref="A94:B94"/>
    <mergeCell ref="D94:D97"/>
    <mergeCell ref="A95:B95"/>
    <mergeCell ref="A96:B96"/>
    <mergeCell ref="A97:B97"/>
    <mergeCell ref="A100:D100"/>
    <mergeCell ref="A102:B102"/>
    <mergeCell ref="A103:B103"/>
    <mergeCell ref="D103:D106"/>
    <mergeCell ref="A104:B104"/>
    <mergeCell ref="A105:B105"/>
    <mergeCell ref="A106:B106"/>
    <mergeCell ref="A108:B108"/>
    <mergeCell ref="A109:B109"/>
    <mergeCell ref="D109:D112"/>
    <mergeCell ref="A110:B110"/>
    <mergeCell ref="A111:B111"/>
    <mergeCell ref="A112:B112"/>
    <mergeCell ref="A114:B114"/>
    <mergeCell ref="A115:B115"/>
    <mergeCell ref="D115:D118"/>
    <mergeCell ref="A116:B116"/>
    <mergeCell ref="A117:B117"/>
    <mergeCell ref="A118:B118"/>
    <mergeCell ref="A120:B120"/>
    <mergeCell ref="A121:B121"/>
    <mergeCell ref="D121:D124"/>
    <mergeCell ref="A122:B122"/>
    <mergeCell ref="A123:B123"/>
    <mergeCell ref="A124:B124"/>
    <mergeCell ref="A126:B126"/>
    <mergeCell ref="A127:B127"/>
    <mergeCell ref="D127:D130"/>
    <mergeCell ref="A128:B128"/>
    <mergeCell ref="A129:B129"/>
    <mergeCell ref="A130:B130"/>
    <mergeCell ref="A132:B132"/>
    <mergeCell ref="A133:B133"/>
    <mergeCell ref="D133:D136"/>
    <mergeCell ref="A134:B134"/>
    <mergeCell ref="A135:B135"/>
    <mergeCell ref="A136:B136"/>
    <mergeCell ref="A138:B138"/>
    <mergeCell ref="A139:B139"/>
    <mergeCell ref="D139:D142"/>
    <mergeCell ref="A140:B140"/>
    <mergeCell ref="A141:B141"/>
    <mergeCell ref="A142:B142"/>
    <mergeCell ref="A144:B144"/>
    <mergeCell ref="A145:B145"/>
    <mergeCell ref="D145:D148"/>
    <mergeCell ref="A146:B146"/>
    <mergeCell ref="A147:B147"/>
    <mergeCell ref="A148:B148"/>
    <mergeCell ref="A150:B150"/>
    <mergeCell ref="A151:B151"/>
    <mergeCell ref="D151:D154"/>
    <mergeCell ref="A152:B152"/>
    <mergeCell ref="A153:B153"/>
    <mergeCell ref="A154:B154"/>
    <mergeCell ref="A156:B156"/>
    <mergeCell ref="A157:B157"/>
    <mergeCell ref="D157:D160"/>
    <mergeCell ref="A158:B158"/>
    <mergeCell ref="A159:B159"/>
    <mergeCell ref="A160:B160"/>
    <mergeCell ref="A162:B162"/>
    <mergeCell ref="A163:B163"/>
    <mergeCell ref="D163:D166"/>
    <mergeCell ref="A164:B164"/>
    <mergeCell ref="A165:B165"/>
    <mergeCell ref="A166:B166"/>
    <mergeCell ref="A168:B168"/>
    <mergeCell ref="A169:B169"/>
    <mergeCell ref="D169:D172"/>
    <mergeCell ref="A170:B170"/>
    <mergeCell ref="A171:B171"/>
    <mergeCell ref="A172:B172"/>
    <mergeCell ref="A174:B174"/>
    <mergeCell ref="A175:B175"/>
    <mergeCell ref="D175:D178"/>
    <mergeCell ref="A176:B176"/>
    <mergeCell ref="A177:B177"/>
    <mergeCell ref="A178:B178"/>
    <mergeCell ref="A180:B180"/>
    <mergeCell ref="A181:B181"/>
    <mergeCell ref="D181:D184"/>
    <mergeCell ref="A182:B182"/>
    <mergeCell ref="A183:B183"/>
    <mergeCell ref="A184:B184"/>
    <mergeCell ref="A186:B186"/>
    <mergeCell ref="A187:B187"/>
    <mergeCell ref="D187:D190"/>
    <mergeCell ref="A188:B188"/>
    <mergeCell ref="A189:B189"/>
    <mergeCell ref="A190:B190"/>
    <mergeCell ref="A192:B192"/>
    <mergeCell ref="A193:B193"/>
    <mergeCell ref="D193:D196"/>
    <mergeCell ref="A194:B194"/>
    <mergeCell ref="A195:B195"/>
    <mergeCell ref="A196:B196"/>
    <mergeCell ref="A198:B198"/>
    <mergeCell ref="A199:B199"/>
    <mergeCell ref="D199:D202"/>
    <mergeCell ref="A200:B200"/>
    <mergeCell ref="A201:B201"/>
    <mergeCell ref="A202:B202"/>
    <mergeCell ref="A204:B204"/>
    <mergeCell ref="A205:B205"/>
    <mergeCell ref="D205:D208"/>
    <mergeCell ref="A206:B206"/>
    <mergeCell ref="A207:B207"/>
    <mergeCell ref="A208:B208"/>
    <mergeCell ref="A211:D211"/>
    <mergeCell ref="A213:B213"/>
    <mergeCell ref="A214:B214"/>
    <mergeCell ref="D214:D217"/>
    <mergeCell ref="A215:B215"/>
    <mergeCell ref="A216:B216"/>
    <mergeCell ref="A217:B217"/>
    <mergeCell ref="A219:B219"/>
    <mergeCell ref="A220:B220"/>
    <mergeCell ref="D220:D223"/>
    <mergeCell ref="A221:B221"/>
    <mergeCell ref="A222:B222"/>
    <mergeCell ref="A223:B223"/>
    <mergeCell ref="A225:B225"/>
    <mergeCell ref="A226:B226"/>
    <mergeCell ref="D226:D229"/>
    <mergeCell ref="A227:B227"/>
    <mergeCell ref="A228:B228"/>
    <mergeCell ref="A229:B229"/>
    <mergeCell ref="A231:B231"/>
    <mergeCell ref="A232:B232"/>
    <mergeCell ref="D232:D235"/>
    <mergeCell ref="A233:B233"/>
    <mergeCell ref="A234:B234"/>
    <mergeCell ref="A235:B235"/>
    <mergeCell ref="A237:B237"/>
    <mergeCell ref="A238:B238"/>
    <mergeCell ref="D238:D241"/>
    <mergeCell ref="A239:B239"/>
    <mergeCell ref="A240:B240"/>
    <mergeCell ref="A241:B241"/>
    <mergeCell ref="A243:B243"/>
    <mergeCell ref="A244:B244"/>
    <mergeCell ref="D244:D247"/>
    <mergeCell ref="A245:B245"/>
    <mergeCell ref="A246:B246"/>
    <mergeCell ref="A247:B247"/>
    <mergeCell ref="A249:B249"/>
    <mergeCell ref="A250:B250"/>
    <mergeCell ref="D250:D253"/>
    <mergeCell ref="A251:B251"/>
    <mergeCell ref="A252:B252"/>
    <mergeCell ref="A253:B253"/>
    <mergeCell ref="A255:B255"/>
    <mergeCell ref="A256:B256"/>
    <mergeCell ref="D256:D259"/>
    <mergeCell ref="A257:B257"/>
    <mergeCell ref="A258:B258"/>
    <mergeCell ref="A259:B259"/>
    <mergeCell ref="A261:B261"/>
    <mergeCell ref="A262:B262"/>
    <mergeCell ref="D262:D265"/>
    <mergeCell ref="A263:B263"/>
    <mergeCell ref="A264:B264"/>
    <mergeCell ref="A265:B265"/>
    <mergeCell ref="A267:B267"/>
    <mergeCell ref="A268:B268"/>
    <mergeCell ref="D268:D271"/>
    <mergeCell ref="A269:B269"/>
    <mergeCell ref="A270:B270"/>
    <mergeCell ref="A271:B271"/>
    <mergeCell ref="A273:B273"/>
    <mergeCell ref="A274:B274"/>
    <mergeCell ref="D274:D277"/>
    <mergeCell ref="A275:B275"/>
    <mergeCell ref="A276:B276"/>
    <mergeCell ref="A277:B277"/>
    <mergeCell ref="A279:B279"/>
    <mergeCell ref="A280:B280"/>
    <mergeCell ref="D280:D283"/>
    <mergeCell ref="A281:B281"/>
    <mergeCell ref="A282:B282"/>
    <mergeCell ref="A283:B283"/>
    <mergeCell ref="A285:B285"/>
    <mergeCell ref="A286:B286"/>
    <mergeCell ref="D286:D289"/>
    <mergeCell ref="A287:B287"/>
    <mergeCell ref="A288:B288"/>
    <mergeCell ref="A289:B289"/>
    <mergeCell ref="A291:B291"/>
    <mergeCell ref="A292:B292"/>
    <mergeCell ref="D292:D295"/>
    <mergeCell ref="A293:B293"/>
    <mergeCell ref="A294:B294"/>
    <mergeCell ref="A295:B295"/>
    <mergeCell ref="A297:B297"/>
    <mergeCell ref="A298:B298"/>
    <mergeCell ref="D298:D301"/>
    <mergeCell ref="A299:B299"/>
    <mergeCell ref="A300:B300"/>
    <mergeCell ref="A301:B301"/>
    <mergeCell ref="A304:D304"/>
    <mergeCell ref="A306:B306"/>
    <mergeCell ref="A307:B307"/>
    <mergeCell ref="D307:D310"/>
    <mergeCell ref="A308:B308"/>
    <mergeCell ref="A309:B309"/>
    <mergeCell ref="A310:B310"/>
    <mergeCell ref="A312:B312"/>
    <mergeCell ref="A313:B313"/>
    <mergeCell ref="D313:D316"/>
    <mergeCell ref="A314:B314"/>
    <mergeCell ref="A315:B315"/>
    <mergeCell ref="A316:B316"/>
    <mergeCell ref="A318:B318"/>
    <mergeCell ref="A319:B319"/>
    <mergeCell ref="D319:D322"/>
    <mergeCell ref="A320:B320"/>
    <mergeCell ref="A321:B321"/>
    <mergeCell ref="A322:B322"/>
    <mergeCell ref="A324:B324"/>
    <mergeCell ref="A325:B325"/>
    <mergeCell ref="D325:D328"/>
    <mergeCell ref="A326:B326"/>
    <mergeCell ref="A327:B327"/>
    <mergeCell ref="A328:B328"/>
    <mergeCell ref="A330:B330"/>
    <mergeCell ref="A331:B331"/>
    <mergeCell ref="D331:D334"/>
    <mergeCell ref="A332:B332"/>
    <mergeCell ref="A333:B333"/>
    <mergeCell ref="A334:B334"/>
    <mergeCell ref="A336:B336"/>
    <mergeCell ref="A337:B337"/>
    <mergeCell ref="D337:D340"/>
    <mergeCell ref="A338:B338"/>
    <mergeCell ref="A339:B339"/>
    <mergeCell ref="A340:B340"/>
    <mergeCell ref="A342:B342"/>
    <mergeCell ref="A343:B343"/>
    <mergeCell ref="D343:D346"/>
    <mergeCell ref="A344:B344"/>
    <mergeCell ref="A345:B345"/>
    <mergeCell ref="A346:B346"/>
    <mergeCell ref="A348:B348"/>
    <mergeCell ref="A349:B349"/>
    <mergeCell ref="D349:D352"/>
    <mergeCell ref="A350:B350"/>
    <mergeCell ref="A351:B351"/>
    <mergeCell ref="A352:B352"/>
    <mergeCell ref="A354:B354"/>
    <mergeCell ref="A355:B355"/>
    <mergeCell ref="D355:D358"/>
    <mergeCell ref="A356:B356"/>
    <mergeCell ref="A357:B357"/>
    <mergeCell ref="A358:B358"/>
    <mergeCell ref="A360:B360"/>
    <mergeCell ref="A361:B361"/>
    <mergeCell ref="D361:D364"/>
    <mergeCell ref="A362:B362"/>
    <mergeCell ref="A363:B363"/>
    <mergeCell ref="A364:B364"/>
    <mergeCell ref="A366:B366"/>
    <mergeCell ref="A367:B367"/>
    <mergeCell ref="D367:D370"/>
    <mergeCell ref="A368:B368"/>
    <mergeCell ref="A369:B369"/>
    <mergeCell ref="A370:B370"/>
    <mergeCell ref="A372:B372"/>
    <mergeCell ref="A373:B373"/>
    <mergeCell ref="D373:D376"/>
    <mergeCell ref="A374:B374"/>
    <mergeCell ref="A375:B375"/>
    <mergeCell ref="A376:B376"/>
    <mergeCell ref="A378:B378"/>
    <mergeCell ref="A379:B379"/>
    <mergeCell ref="D379:D382"/>
    <mergeCell ref="A380:B380"/>
    <mergeCell ref="A381:B381"/>
    <mergeCell ref="A382:B382"/>
    <mergeCell ref="A384:B384"/>
    <mergeCell ref="A385:B385"/>
    <mergeCell ref="D385:D388"/>
    <mergeCell ref="A386:B386"/>
    <mergeCell ref="A387:B387"/>
    <mergeCell ref="A388:B388"/>
    <mergeCell ref="A390:B390"/>
    <mergeCell ref="A391:B391"/>
    <mergeCell ref="D391:D394"/>
    <mergeCell ref="A392:B392"/>
    <mergeCell ref="A393:B393"/>
    <mergeCell ref="A394:B394"/>
    <mergeCell ref="A397:D397"/>
    <mergeCell ref="A399:B399"/>
    <mergeCell ref="A400:B400"/>
    <mergeCell ref="D400:D403"/>
    <mergeCell ref="A401:B401"/>
    <mergeCell ref="A402:B402"/>
    <mergeCell ref="A403:B403"/>
    <mergeCell ref="A405:B405"/>
    <mergeCell ref="A406:B406"/>
    <mergeCell ref="D406:D409"/>
    <mergeCell ref="A407:B407"/>
    <mergeCell ref="A408:B408"/>
    <mergeCell ref="A409:B409"/>
    <mergeCell ref="A411:B411"/>
    <mergeCell ref="A412:B412"/>
    <mergeCell ref="D412:D415"/>
    <mergeCell ref="A413:B413"/>
    <mergeCell ref="A414:B414"/>
    <mergeCell ref="A415:B415"/>
    <mergeCell ref="A417:B417"/>
    <mergeCell ref="A418:B418"/>
    <mergeCell ref="D418:D421"/>
    <mergeCell ref="A419:B419"/>
    <mergeCell ref="A420:B420"/>
    <mergeCell ref="A421:B421"/>
    <mergeCell ref="A423:B423"/>
    <mergeCell ref="A424:B424"/>
    <mergeCell ref="D424:D427"/>
    <mergeCell ref="A425:B425"/>
    <mergeCell ref="A426:B426"/>
    <mergeCell ref="A427:B427"/>
    <mergeCell ref="A429:B429"/>
    <mergeCell ref="A430:B430"/>
    <mergeCell ref="D430:D433"/>
    <mergeCell ref="A431:B431"/>
    <mergeCell ref="A432:B432"/>
    <mergeCell ref="A433:B433"/>
    <mergeCell ref="A435:B435"/>
    <mergeCell ref="A436:B436"/>
    <mergeCell ref="D436:D439"/>
    <mergeCell ref="A437:B437"/>
    <mergeCell ref="A438:B438"/>
    <mergeCell ref="A439:B439"/>
    <mergeCell ref="A441:B441"/>
    <mergeCell ref="A442:B442"/>
    <mergeCell ref="D442:D445"/>
    <mergeCell ref="A443:B443"/>
    <mergeCell ref="A444:B444"/>
    <mergeCell ref="A445:B445"/>
    <mergeCell ref="A447:B447"/>
    <mergeCell ref="A448:B448"/>
    <mergeCell ref="D448:D451"/>
    <mergeCell ref="A449:B449"/>
    <mergeCell ref="A450:B450"/>
    <mergeCell ref="A451:B451"/>
    <mergeCell ref="A453:B453"/>
    <mergeCell ref="A454:B454"/>
    <mergeCell ref="D454:D457"/>
    <mergeCell ref="A455:B455"/>
    <mergeCell ref="A456:B456"/>
    <mergeCell ref="A457:B457"/>
    <mergeCell ref="A459:B459"/>
    <mergeCell ref="A460:B460"/>
    <mergeCell ref="D460:D463"/>
    <mergeCell ref="A461:B461"/>
    <mergeCell ref="A462:B462"/>
    <mergeCell ref="A463:B463"/>
    <mergeCell ref="A465:B465"/>
    <mergeCell ref="A466:B466"/>
    <mergeCell ref="D466:D469"/>
    <mergeCell ref="A467:B467"/>
    <mergeCell ref="A468:B468"/>
    <mergeCell ref="A469:B469"/>
    <mergeCell ref="A471:B471"/>
    <mergeCell ref="A472:B472"/>
    <mergeCell ref="D472:D475"/>
    <mergeCell ref="A473:B473"/>
    <mergeCell ref="A474:B474"/>
    <mergeCell ref="A475:B475"/>
    <mergeCell ref="A477:B477"/>
    <mergeCell ref="A478:B478"/>
    <mergeCell ref="D478:D481"/>
    <mergeCell ref="A479:B479"/>
    <mergeCell ref="A480:B480"/>
    <mergeCell ref="A481:B481"/>
    <mergeCell ref="A483:B483"/>
    <mergeCell ref="A484:B484"/>
    <mergeCell ref="D484:D487"/>
    <mergeCell ref="A485:B485"/>
    <mergeCell ref="A486:B486"/>
    <mergeCell ref="A487:B487"/>
    <mergeCell ref="A489:B489"/>
    <mergeCell ref="A490:B490"/>
    <mergeCell ref="D490:D493"/>
    <mergeCell ref="A491:B491"/>
    <mergeCell ref="A492:B492"/>
    <mergeCell ref="A493:B493"/>
    <mergeCell ref="A495:B495"/>
    <mergeCell ref="A496:B496"/>
    <mergeCell ref="D496:D499"/>
    <mergeCell ref="A497:B497"/>
    <mergeCell ref="A498:B498"/>
    <mergeCell ref="A499:B499"/>
    <mergeCell ref="A501:B501"/>
    <mergeCell ref="A502:B502"/>
    <mergeCell ref="D502:D505"/>
    <mergeCell ref="A503:B503"/>
    <mergeCell ref="A504:B504"/>
    <mergeCell ref="A505:B505"/>
    <mergeCell ref="A508:D508"/>
    <mergeCell ref="A510:B510"/>
    <mergeCell ref="A511:B511"/>
    <mergeCell ref="D511:D514"/>
    <mergeCell ref="A512:B512"/>
    <mergeCell ref="A513:B513"/>
    <mergeCell ref="A514:B514"/>
    <mergeCell ref="A516:B516"/>
    <mergeCell ref="A517:B517"/>
    <mergeCell ref="D517:D520"/>
    <mergeCell ref="A518:B518"/>
    <mergeCell ref="A519:B519"/>
    <mergeCell ref="A520:B520"/>
    <mergeCell ref="A522:B522"/>
    <mergeCell ref="A523:B523"/>
    <mergeCell ref="D523:D526"/>
    <mergeCell ref="A524:B524"/>
    <mergeCell ref="A525:B525"/>
    <mergeCell ref="A526:B526"/>
    <mergeCell ref="A528:B528"/>
    <mergeCell ref="A529:B529"/>
    <mergeCell ref="D529:D532"/>
    <mergeCell ref="A530:B530"/>
    <mergeCell ref="A531:B531"/>
    <mergeCell ref="A532:B532"/>
    <mergeCell ref="A534:B534"/>
    <mergeCell ref="A535:B535"/>
    <mergeCell ref="D535:D538"/>
    <mergeCell ref="A536:B536"/>
    <mergeCell ref="A537:B537"/>
    <mergeCell ref="A538:B538"/>
    <mergeCell ref="A540:B540"/>
    <mergeCell ref="A541:B541"/>
    <mergeCell ref="D541:D544"/>
    <mergeCell ref="A542:B542"/>
    <mergeCell ref="A543:B543"/>
    <mergeCell ref="A544:B544"/>
    <mergeCell ref="A546:B546"/>
    <mergeCell ref="A547:B547"/>
    <mergeCell ref="D547:D550"/>
    <mergeCell ref="A548:B548"/>
    <mergeCell ref="A549:B549"/>
    <mergeCell ref="A550:B550"/>
    <mergeCell ref="A552:B552"/>
    <mergeCell ref="A553:B553"/>
    <mergeCell ref="D553:D556"/>
    <mergeCell ref="A554:B554"/>
    <mergeCell ref="A555:B555"/>
    <mergeCell ref="A556:B556"/>
    <mergeCell ref="A558:B558"/>
    <mergeCell ref="A559:B559"/>
    <mergeCell ref="D559:D562"/>
    <mergeCell ref="A560:B560"/>
    <mergeCell ref="A561:B561"/>
    <mergeCell ref="A562:B562"/>
    <mergeCell ref="A564:B564"/>
    <mergeCell ref="A565:B565"/>
    <mergeCell ref="D565:D568"/>
    <mergeCell ref="A566:B566"/>
    <mergeCell ref="A567:B567"/>
    <mergeCell ref="A568:B568"/>
    <mergeCell ref="A570:B570"/>
    <mergeCell ref="A571:B571"/>
    <mergeCell ref="D571:D574"/>
    <mergeCell ref="A572:B572"/>
    <mergeCell ref="A573:B573"/>
    <mergeCell ref="A574:B574"/>
    <mergeCell ref="A576:B576"/>
    <mergeCell ref="A577:B577"/>
    <mergeCell ref="D577:D580"/>
    <mergeCell ref="A578:B578"/>
    <mergeCell ref="A579:B579"/>
    <mergeCell ref="A580:B580"/>
    <mergeCell ref="A582:B582"/>
    <mergeCell ref="A583:B583"/>
    <mergeCell ref="D583:D586"/>
    <mergeCell ref="A584:B584"/>
    <mergeCell ref="A585:B585"/>
    <mergeCell ref="A586:B586"/>
    <mergeCell ref="A588:B588"/>
    <mergeCell ref="A589:B589"/>
    <mergeCell ref="D589:D592"/>
    <mergeCell ref="A590:B590"/>
    <mergeCell ref="A591:B591"/>
    <mergeCell ref="A592:B592"/>
    <mergeCell ref="A594:B594"/>
    <mergeCell ref="A595:B595"/>
    <mergeCell ref="D595:D598"/>
    <mergeCell ref="A596:B596"/>
    <mergeCell ref="A597:B597"/>
    <mergeCell ref="A598:B598"/>
    <mergeCell ref="A600:B600"/>
    <mergeCell ref="A601:B601"/>
    <mergeCell ref="D601:D604"/>
    <mergeCell ref="A602:B602"/>
    <mergeCell ref="A603:B603"/>
    <mergeCell ref="A604:B604"/>
    <mergeCell ref="A606:B606"/>
    <mergeCell ref="A607:B607"/>
    <mergeCell ref="D607:D610"/>
    <mergeCell ref="A608:B608"/>
    <mergeCell ref="A609:B609"/>
    <mergeCell ref="A610:B610"/>
    <mergeCell ref="A612:B612"/>
    <mergeCell ref="A613:B613"/>
    <mergeCell ref="D613:D616"/>
    <mergeCell ref="A614:B614"/>
    <mergeCell ref="A615:B615"/>
    <mergeCell ref="A616:B616"/>
    <mergeCell ref="A619:D619"/>
    <mergeCell ref="A621:B621"/>
    <mergeCell ref="A622:B622"/>
    <mergeCell ref="D622:D625"/>
    <mergeCell ref="A623:B623"/>
    <mergeCell ref="A624:B624"/>
    <mergeCell ref="A625:B625"/>
    <mergeCell ref="A627:B627"/>
    <mergeCell ref="A628:B628"/>
    <mergeCell ref="D628:D631"/>
    <mergeCell ref="A629:B629"/>
    <mergeCell ref="A630:B630"/>
    <mergeCell ref="A631:B631"/>
    <mergeCell ref="A633:B633"/>
    <mergeCell ref="A634:B634"/>
    <mergeCell ref="D634:D637"/>
    <mergeCell ref="A635:B635"/>
    <mergeCell ref="A636:B636"/>
    <mergeCell ref="A637:B637"/>
    <mergeCell ref="A639:B639"/>
    <mergeCell ref="A640:B640"/>
    <mergeCell ref="D640:D643"/>
    <mergeCell ref="A641:B641"/>
    <mergeCell ref="A642:B642"/>
    <mergeCell ref="A643:B643"/>
    <mergeCell ref="A645:B645"/>
    <mergeCell ref="A646:B646"/>
    <mergeCell ref="D646:D649"/>
    <mergeCell ref="A647:B647"/>
    <mergeCell ref="A648:B648"/>
    <mergeCell ref="A649:B649"/>
    <mergeCell ref="A651:B651"/>
    <mergeCell ref="A652:B652"/>
    <mergeCell ref="D652:D655"/>
    <mergeCell ref="A653:B653"/>
    <mergeCell ref="A654:B654"/>
    <mergeCell ref="A655:B655"/>
    <mergeCell ref="A657:B657"/>
    <mergeCell ref="A658:B658"/>
    <mergeCell ref="D658:D661"/>
    <mergeCell ref="A659:B659"/>
    <mergeCell ref="A660:B660"/>
    <mergeCell ref="A661:B661"/>
    <mergeCell ref="A663:B663"/>
    <mergeCell ref="A664:B664"/>
    <mergeCell ref="D664:D667"/>
    <mergeCell ref="A665:B665"/>
    <mergeCell ref="A666:B666"/>
    <mergeCell ref="A667:B667"/>
    <mergeCell ref="A669:B669"/>
    <mergeCell ref="A670:B670"/>
    <mergeCell ref="D670:D673"/>
    <mergeCell ref="A671:B671"/>
    <mergeCell ref="A672:B672"/>
    <mergeCell ref="A673:B673"/>
    <mergeCell ref="A675:B675"/>
    <mergeCell ref="A676:B676"/>
    <mergeCell ref="D676:D679"/>
    <mergeCell ref="A677:B677"/>
    <mergeCell ref="A678:B678"/>
    <mergeCell ref="A679:B679"/>
    <mergeCell ref="A681:B681"/>
    <mergeCell ref="A682:B682"/>
    <mergeCell ref="D682:D685"/>
    <mergeCell ref="A683:B683"/>
    <mergeCell ref="A684:B684"/>
    <mergeCell ref="A685:B685"/>
    <mergeCell ref="A687:B687"/>
    <mergeCell ref="A688:B688"/>
    <mergeCell ref="D688:D691"/>
    <mergeCell ref="A689:B689"/>
    <mergeCell ref="A690:B690"/>
    <mergeCell ref="A691:B691"/>
    <mergeCell ref="A693:B693"/>
    <mergeCell ref="A694:B694"/>
    <mergeCell ref="D694:D697"/>
    <mergeCell ref="A695:B695"/>
    <mergeCell ref="A696:B696"/>
    <mergeCell ref="A697:B697"/>
    <mergeCell ref="A699:B699"/>
    <mergeCell ref="A700:B700"/>
    <mergeCell ref="D700:D703"/>
    <mergeCell ref="A701:B701"/>
    <mergeCell ref="A702:B702"/>
    <mergeCell ref="A703:B703"/>
    <mergeCell ref="A705:B705"/>
    <mergeCell ref="A706:B706"/>
    <mergeCell ref="D706:D709"/>
    <mergeCell ref="A707:B707"/>
    <mergeCell ref="A708:B708"/>
    <mergeCell ref="A709:B709"/>
    <mergeCell ref="A711:B711"/>
    <mergeCell ref="A712:B712"/>
    <mergeCell ref="D712:D715"/>
    <mergeCell ref="A713:B713"/>
    <mergeCell ref="A714:B714"/>
    <mergeCell ref="A715:B715"/>
    <mergeCell ref="A717:B717"/>
    <mergeCell ref="A718:B718"/>
    <mergeCell ref="D718:D721"/>
    <mergeCell ref="A719:B719"/>
    <mergeCell ref="A720:B720"/>
    <mergeCell ref="A721:B721"/>
    <mergeCell ref="A723:B723"/>
    <mergeCell ref="A724:B724"/>
    <mergeCell ref="D724:D727"/>
    <mergeCell ref="A725:B725"/>
    <mergeCell ref="A726:B726"/>
    <mergeCell ref="A727:B727"/>
    <mergeCell ref="A730:D730"/>
    <mergeCell ref="A732:B732"/>
    <mergeCell ref="A733:B733"/>
    <mergeCell ref="D733:D736"/>
    <mergeCell ref="A734:B734"/>
    <mergeCell ref="A735:B735"/>
    <mergeCell ref="A736:B736"/>
    <mergeCell ref="A738:B738"/>
    <mergeCell ref="A739:B739"/>
    <mergeCell ref="D739:D742"/>
    <mergeCell ref="A740:B740"/>
    <mergeCell ref="A741:B741"/>
    <mergeCell ref="A742:B742"/>
    <mergeCell ref="A744:B744"/>
    <mergeCell ref="A745:B745"/>
    <mergeCell ref="D745:D748"/>
    <mergeCell ref="A746:B746"/>
    <mergeCell ref="A747:B747"/>
    <mergeCell ref="A748:B748"/>
    <mergeCell ref="A750:B750"/>
    <mergeCell ref="A751:B751"/>
    <mergeCell ref="D751:D754"/>
    <mergeCell ref="A752:B752"/>
    <mergeCell ref="A753:B753"/>
    <mergeCell ref="A754:B754"/>
    <mergeCell ref="A756:B756"/>
    <mergeCell ref="A757:B757"/>
    <mergeCell ref="D757:D760"/>
    <mergeCell ref="A758:B758"/>
    <mergeCell ref="A759:B759"/>
    <mergeCell ref="A760:B760"/>
    <mergeCell ref="A762:B762"/>
    <mergeCell ref="A763:B763"/>
    <mergeCell ref="D763:D766"/>
    <mergeCell ref="A764:B764"/>
    <mergeCell ref="A765:B765"/>
    <mergeCell ref="A766:B766"/>
    <mergeCell ref="A768:B768"/>
    <mergeCell ref="A769:B769"/>
    <mergeCell ref="D769:D772"/>
    <mergeCell ref="A770:B770"/>
    <mergeCell ref="A771:B771"/>
    <mergeCell ref="A772:B772"/>
    <mergeCell ref="A774:B774"/>
    <mergeCell ref="A775:B775"/>
    <mergeCell ref="D775:D778"/>
    <mergeCell ref="A776:B776"/>
    <mergeCell ref="A777:B777"/>
    <mergeCell ref="A778:B778"/>
    <mergeCell ref="A780:B780"/>
    <mergeCell ref="A781:B781"/>
    <mergeCell ref="D781:D784"/>
    <mergeCell ref="A782:B782"/>
    <mergeCell ref="A783:B783"/>
    <mergeCell ref="A784:B784"/>
    <mergeCell ref="A786:B786"/>
    <mergeCell ref="A787:B787"/>
    <mergeCell ref="D787:D790"/>
    <mergeCell ref="A788:B788"/>
    <mergeCell ref="A789:B789"/>
    <mergeCell ref="A790:B790"/>
    <mergeCell ref="A792:B792"/>
    <mergeCell ref="A793:B793"/>
    <mergeCell ref="D793:D796"/>
    <mergeCell ref="A794:B794"/>
    <mergeCell ref="A795:B795"/>
    <mergeCell ref="A796:B796"/>
    <mergeCell ref="A798:B798"/>
    <mergeCell ref="A799:B799"/>
    <mergeCell ref="D799:D802"/>
    <mergeCell ref="A800:B800"/>
    <mergeCell ref="A801:B801"/>
    <mergeCell ref="A802:B802"/>
    <mergeCell ref="A804:B804"/>
    <mergeCell ref="A805:B805"/>
    <mergeCell ref="D805:D808"/>
    <mergeCell ref="A806:B806"/>
    <mergeCell ref="A807:B807"/>
    <mergeCell ref="A808:B808"/>
    <mergeCell ref="A810:B810"/>
    <mergeCell ref="A811:B811"/>
    <mergeCell ref="D811:D814"/>
    <mergeCell ref="A812:B812"/>
    <mergeCell ref="A813:B813"/>
    <mergeCell ref="A814:B814"/>
    <mergeCell ref="A816:B816"/>
    <mergeCell ref="A817:B817"/>
    <mergeCell ref="D817:D820"/>
    <mergeCell ref="A818:B818"/>
    <mergeCell ref="A819:B819"/>
    <mergeCell ref="A820:B820"/>
    <mergeCell ref="A822:B822"/>
    <mergeCell ref="A823:B823"/>
    <mergeCell ref="D823:D826"/>
    <mergeCell ref="A824:B824"/>
    <mergeCell ref="A825:B825"/>
    <mergeCell ref="A826:B826"/>
    <mergeCell ref="A828:B828"/>
    <mergeCell ref="A829:B829"/>
    <mergeCell ref="D829:D832"/>
    <mergeCell ref="A830:B830"/>
    <mergeCell ref="A831:B831"/>
    <mergeCell ref="A832:B832"/>
    <mergeCell ref="A834:B834"/>
    <mergeCell ref="A835:B835"/>
    <mergeCell ref="D835:D838"/>
    <mergeCell ref="A836:B836"/>
    <mergeCell ref="A837:B837"/>
    <mergeCell ref="A838:B838"/>
  </mergeCells>
  <dataValidations count="1">
    <dataValidation type="list" allowBlank="1" errorTitle="Invalid Entry" error="Please select A, B, C, or D" promptTitle="Your Answer" prompt="Select A, B, C or D" sqref="D10 D16 D22 D28 D34 D40 D46 D52 D58 D64 D70 D76 D82 D88 D94 D103 D109 D115 D121 D127 D133 D139 D145 D151 D157 D163 D169 D175 D181 D187 D193 D199 D205 D214 D220 D226 D232 D238 D244 D250 D256 D262 D268 D274 D280 D286 D292 D298 D307 D313 D319 D325 D331 D337 D343 D349 D355 D361 D367 D373 D379 D385 D391 D400 D406 D412 D418 D424 D430 D436 D442 D448 D454 D460 D466 D472 D478 D484 D490 D496 D502 D511 D517 D523 D529 D535 D541 D547 D553 D559 D565 D571 D577 D583 D589 D595 D601 D607 D613 D622 D628 D634 D640 D646 D652 D658 D664 D670 D676 D682 D688 D694 D700 D706 D712 D718 D724 D733 D739 D745 D751 D757 D763 D769 D775 D781 D787 D793 D799 D805 D811 D817 D823 D829 D835" xr:uid="{00000000-0002-0000-0100-000000000000}">
      <formula1>"A,B,C,D"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showGridLines="0" tabSelected="1" zoomScaleNormal="100" workbookViewId="0">
      <pane ySplit="4" topLeftCell="A5" activePane="bottomLeft" state="frozen"/>
      <selection pane="bottomLeft" activeCell="C8" sqref="C8"/>
    </sheetView>
  </sheetViews>
  <sheetFormatPr defaultColWidth="8.6328125" defaultRowHeight="14.5" x14ac:dyDescent="0.35"/>
  <cols>
    <col min="1" max="1" width="4" customWidth="1"/>
    <col min="2" max="2" width="8" customWidth="1"/>
    <col min="3" max="3" width="32" customWidth="1"/>
    <col min="4" max="4" width="28" customWidth="1"/>
    <col min="5" max="8" width="16" customWidth="1"/>
    <col min="9" max="9" width="20" customWidth="1"/>
  </cols>
  <sheetData>
    <row r="1" spans="1:9" ht="39.75" customHeight="1" x14ac:dyDescent="0.35">
      <c r="A1" s="60" t="s">
        <v>859</v>
      </c>
      <c r="B1" s="60"/>
      <c r="C1" s="60"/>
      <c r="D1" s="60"/>
      <c r="E1" s="60"/>
      <c r="F1" s="60"/>
      <c r="G1" s="60"/>
      <c r="H1" s="60"/>
      <c r="I1" s="60"/>
    </row>
    <row r="2" spans="1:9" ht="15.75" customHeight="1" x14ac:dyDescent="0.35">
      <c r="A2" s="61" t="s">
        <v>860</v>
      </c>
      <c r="B2" s="61"/>
      <c r="C2" s="61"/>
      <c r="D2" s="61"/>
      <c r="E2" s="61"/>
      <c r="F2" s="61"/>
      <c r="G2" s="61"/>
      <c r="H2" s="61"/>
      <c r="I2" s="61"/>
    </row>
    <row r="4" spans="1:9" ht="36" customHeight="1" x14ac:dyDescent="0.35">
      <c r="A4" s="16" t="s">
        <v>861</v>
      </c>
      <c r="B4" s="16" t="s">
        <v>862</v>
      </c>
      <c r="C4" s="16" t="s">
        <v>863</v>
      </c>
      <c r="D4" s="16" t="s">
        <v>864</v>
      </c>
      <c r="E4" s="16" t="s">
        <v>865</v>
      </c>
      <c r="F4" s="16" t="s">
        <v>866</v>
      </c>
      <c r="G4" s="16" t="s">
        <v>867</v>
      </c>
      <c r="H4" s="16" t="s">
        <v>868</v>
      </c>
      <c r="I4" s="16" t="s">
        <v>869</v>
      </c>
    </row>
    <row r="5" spans="1:9" ht="4.5" customHeight="1" x14ac:dyDescent="0.35"/>
    <row r="6" spans="1:9" ht="19.5" customHeight="1" x14ac:dyDescent="0.35">
      <c r="A6" s="62" t="s">
        <v>870</v>
      </c>
      <c r="B6" s="62"/>
      <c r="C6" s="62"/>
      <c r="D6" s="62"/>
      <c r="E6" s="62"/>
      <c r="F6" s="62"/>
      <c r="G6" s="62"/>
      <c r="H6" s="62"/>
      <c r="I6" s="62"/>
    </row>
    <row r="7" spans="1:9" ht="21.75" customHeight="1" x14ac:dyDescent="0.35">
      <c r="A7" s="17">
        <v>1</v>
      </c>
      <c r="B7" s="17" t="s">
        <v>871</v>
      </c>
      <c r="C7" s="18" t="s">
        <v>872</v>
      </c>
      <c r="D7" s="19" t="s">
        <v>873</v>
      </c>
      <c r="E7" s="20">
        <f>IFERROR(CHOOSE(MATCH('📝 Questionnaire'!D10,{"A","B","C","D"},0),1,2,3,4),"")</f>
        <v>3</v>
      </c>
      <c r="F7" s="20">
        <f>IFERROR(CHOOSE(MATCH('📝 Questionnaire'!D16,{"A","B","C","D"},0),1,2,3,4),"")</f>
        <v>2</v>
      </c>
      <c r="G7" s="20">
        <f>IFERROR(CHOOSE(MATCH('📝 Questionnaire'!D22,{"A","B","C","D"},0),1,2,3,4),"")</f>
        <v>3</v>
      </c>
      <c r="H7" s="21">
        <f>IFERROR(ROUND(AVERAGE(E7:G7),1),"")</f>
        <v>2.7</v>
      </c>
      <c r="I7" s="22" t="str">
        <f>IF(H7="","",IF(H7&lt;1.5,"1 – Amateur",IF(H7&lt;2.5,"2 – Collaborator",IF(H7&lt;3.5,"3 – Enabler","4 – Driving Force"))))</f>
        <v>3 – Enabler</v>
      </c>
    </row>
    <row r="8" spans="1:9" ht="21.75" customHeight="1" x14ac:dyDescent="0.35">
      <c r="A8" s="23">
        <v>2</v>
      </c>
      <c r="B8" s="23" t="s">
        <v>874</v>
      </c>
      <c r="C8" s="24" t="s">
        <v>875</v>
      </c>
      <c r="D8" s="25" t="s">
        <v>873</v>
      </c>
      <c r="E8" s="26">
        <f>IFERROR(CHOOSE(MATCH('📝 Questionnaire'!D28,{"A","B","C","D"},0),1,2,3,4),"")</f>
        <v>4</v>
      </c>
      <c r="F8" s="26">
        <f>IFERROR(CHOOSE(MATCH('📝 Questionnaire'!D34,{"A","B","C","D"},0),1,2,3,4),"")</f>
        <v>2</v>
      </c>
      <c r="G8" s="26">
        <f>IFERROR(CHOOSE(MATCH('📝 Questionnaire'!D40,{"A","B","C","D"},0),1,2,3,4),"")</f>
        <v>4</v>
      </c>
      <c r="H8" s="27">
        <f>IFERROR(ROUND(AVERAGE(E8:G8),1),"")</f>
        <v>3.3</v>
      </c>
      <c r="I8" s="28" t="str">
        <f>IF(H8="","",IF(H8&lt;1.5,"1 – Amateur",IF(H8&lt;2.5,"2 – Collaborator",IF(H8&lt;3.5,"3 – Enabler","4 – Driving Force"))))</f>
        <v>3 – Enabler</v>
      </c>
    </row>
    <row r="9" spans="1:9" ht="21.75" customHeight="1" x14ac:dyDescent="0.35">
      <c r="A9" s="17">
        <v>3</v>
      </c>
      <c r="B9" s="17" t="s">
        <v>876</v>
      </c>
      <c r="C9" s="18" t="s">
        <v>877</v>
      </c>
      <c r="D9" s="19" t="s">
        <v>873</v>
      </c>
      <c r="E9" s="20">
        <f>IFERROR(CHOOSE(MATCH('📝 Questionnaire'!D46,{"A","B","C","D"},0),1,2,3,4),"")</f>
        <v>1</v>
      </c>
      <c r="F9" s="20">
        <f>IFERROR(CHOOSE(MATCH('📝 Questionnaire'!D52,{"A","B","C","D"},0),1,2,3,4),"")</f>
        <v>2</v>
      </c>
      <c r="G9" s="20">
        <f>IFERROR(CHOOSE(MATCH('📝 Questionnaire'!D58,{"A","B","C","D"},0),1,2,3,4),"")</f>
        <v>2</v>
      </c>
      <c r="H9" s="21">
        <f>IFERROR(ROUND(AVERAGE(E9:G9),1),"")</f>
        <v>1.7</v>
      </c>
      <c r="I9" s="22" t="str">
        <f>IF(H9="","",IF(H9&lt;1.5,"1 – Amateur",IF(H9&lt;2.5,"2 – Collaborator",IF(H9&lt;3.5,"3 – Enabler","4 – Driving Force"))))</f>
        <v>2 – Collaborator</v>
      </c>
    </row>
    <row r="10" spans="1:9" ht="21.75" customHeight="1" x14ac:dyDescent="0.35">
      <c r="A10" s="23">
        <v>4</v>
      </c>
      <c r="B10" s="23" t="s">
        <v>878</v>
      </c>
      <c r="C10" s="24" t="s">
        <v>879</v>
      </c>
      <c r="D10" s="25" t="s">
        <v>873</v>
      </c>
      <c r="E10" s="26">
        <f>IFERROR(CHOOSE(MATCH('📝 Questionnaire'!D64,{"A","B","C","D"},0),1,2,3,4),"")</f>
        <v>1</v>
      </c>
      <c r="F10" s="26">
        <f>IFERROR(CHOOSE(MATCH('📝 Questionnaire'!D70,{"A","B","C","D"},0),1,2,3,4),"")</f>
        <v>4</v>
      </c>
      <c r="G10" s="26">
        <f>IFERROR(CHOOSE(MATCH('📝 Questionnaire'!D76,{"A","B","C","D"},0),1,2,3,4),"")</f>
        <v>1</v>
      </c>
      <c r="H10" s="27">
        <f>IFERROR(ROUND(AVERAGE(E10:G10),1),"")</f>
        <v>2</v>
      </c>
      <c r="I10" s="28" t="str">
        <f>IF(H10="","",IF(H10&lt;1.5,"1 – Amateur",IF(H10&lt;2.5,"2 – Collaborator",IF(H10&lt;3.5,"3 – Enabler","4 – Driving Force"))))</f>
        <v>2 – Collaborator</v>
      </c>
    </row>
    <row r="11" spans="1:9" ht="21.75" customHeight="1" x14ac:dyDescent="0.35">
      <c r="A11" s="17">
        <v>5</v>
      </c>
      <c r="B11" s="17" t="s">
        <v>880</v>
      </c>
      <c r="C11" s="18" t="s">
        <v>881</v>
      </c>
      <c r="D11" s="19" t="s">
        <v>873</v>
      </c>
      <c r="E11" s="20">
        <f>IFERROR(CHOOSE(MATCH('📝 Questionnaire'!D82,{"A","B","C","D"},0),1,2,3,4),"")</f>
        <v>3</v>
      </c>
      <c r="F11" s="20">
        <f>IFERROR(CHOOSE(MATCH('📝 Questionnaire'!D88,{"A","B","C","D"},0),1,2,3,4),"")</f>
        <v>3</v>
      </c>
      <c r="G11" s="20">
        <f>IFERROR(CHOOSE(MATCH('📝 Questionnaire'!D94,{"A","B","C","D"},0),1,2,3,4),"")</f>
        <v>4</v>
      </c>
      <c r="H11" s="21">
        <f>IFERROR(ROUND(AVERAGE(E11:G11),1),"")</f>
        <v>3.3</v>
      </c>
      <c r="I11" s="22" t="str">
        <f>IF(H11="","",IF(H11&lt;1.5,"1 – Amateur",IF(H11&lt;2.5,"2 – Collaborator",IF(H11&lt;3.5,"3 – Enabler","4 – Driving Force"))))</f>
        <v>3 – Enabler</v>
      </c>
    </row>
    <row r="12" spans="1:9" ht="4.5" customHeight="1" x14ac:dyDescent="0.35"/>
    <row r="13" spans="1:9" ht="19.5" customHeight="1" x14ac:dyDescent="0.35">
      <c r="A13" s="63" t="s">
        <v>882</v>
      </c>
      <c r="B13" s="63"/>
      <c r="C13" s="63"/>
      <c r="D13" s="63"/>
      <c r="E13" s="63"/>
      <c r="F13" s="63"/>
      <c r="G13" s="63"/>
      <c r="H13" s="63"/>
      <c r="I13" s="63"/>
    </row>
    <row r="14" spans="1:9" ht="21.75" customHeight="1" x14ac:dyDescent="0.35">
      <c r="A14" s="23">
        <v>6</v>
      </c>
      <c r="B14" s="23" t="s">
        <v>883</v>
      </c>
      <c r="C14" s="24" t="s">
        <v>884</v>
      </c>
      <c r="D14" s="25" t="s">
        <v>885</v>
      </c>
      <c r="E14" s="26" t="str">
        <f>IFERROR(CHOOSE(MATCH('📝 Questionnaire'!D103,{"A","B","C","D"},0),1,2,3,4),"")</f>
        <v/>
      </c>
      <c r="F14" s="26" t="str">
        <f>IFERROR(CHOOSE(MATCH('📝 Questionnaire'!D109,{"A","B","C","D"},0),1,2,3,4),"")</f>
        <v/>
      </c>
      <c r="G14" s="26" t="str">
        <f>IFERROR(CHOOSE(MATCH('📝 Questionnaire'!D115,{"A","B","C","D"},0),1,2,3,4),"")</f>
        <v/>
      </c>
      <c r="H14" s="27" t="str">
        <f t="shared" ref="H14:H19" si="0">IFERROR(ROUND(AVERAGE(E14:G14),1),"")</f>
        <v/>
      </c>
      <c r="I14" s="28" t="str">
        <f t="shared" ref="I14:I19" si="1">IF(H14="","",IF(H14&lt;1.5,"1 – Amateur",IF(H14&lt;2.5,"2 – Collaborator",IF(H14&lt;3.5,"3 – Enabler","4 – Driving Force"))))</f>
        <v/>
      </c>
    </row>
    <row r="15" spans="1:9" ht="21.75" customHeight="1" x14ac:dyDescent="0.35">
      <c r="A15" s="17">
        <v>7</v>
      </c>
      <c r="B15" s="17" t="s">
        <v>886</v>
      </c>
      <c r="C15" s="18" t="s">
        <v>887</v>
      </c>
      <c r="D15" s="19" t="s">
        <v>885</v>
      </c>
      <c r="E15" s="20" t="str">
        <f>IFERROR(CHOOSE(MATCH('📝 Questionnaire'!D121,{"A","B","C","D"},0),1,2,3,4),"")</f>
        <v/>
      </c>
      <c r="F15" s="20" t="str">
        <f>IFERROR(CHOOSE(MATCH('📝 Questionnaire'!D127,{"A","B","C","D"},0),1,2,3,4),"")</f>
        <v/>
      </c>
      <c r="G15" s="20" t="str">
        <f>IFERROR(CHOOSE(MATCH('📝 Questionnaire'!D133,{"A","B","C","D"},0),1,2,3,4),"")</f>
        <v/>
      </c>
      <c r="H15" s="21" t="str">
        <f t="shared" si="0"/>
        <v/>
      </c>
      <c r="I15" s="22" t="str">
        <f t="shared" si="1"/>
        <v/>
      </c>
    </row>
    <row r="16" spans="1:9" ht="21.75" customHeight="1" x14ac:dyDescent="0.35">
      <c r="A16" s="23">
        <v>8</v>
      </c>
      <c r="B16" s="23" t="s">
        <v>888</v>
      </c>
      <c r="C16" s="24" t="s">
        <v>889</v>
      </c>
      <c r="D16" s="25" t="s">
        <v>885</v>
      </c>
      <c r="E16" s="26" t="str">
        <f>IFERROR(CHOOSE(MATCH('📝 Questionnaire'!D139,{"A","B","C","D"},0),1,2,3,4),"")</f>
        <v/>
      </c>
      <c r="F16" s="26" t="str">
        <f>IFERROR(CHOOSE(MATCH('📝 Questionnaire'!D145,{"A","B","C","D"},0),1,2,3,4),"")</f>
        <v/>
      </c>
      <c r="G16" s="26" t="str">
        <f>IFERROR(CHOOSE(MATCH('📝 Questionnaire'!D151,{"A","B","C","D"},0),1,2,3,4),"")</f>
        <v/>
      </c>
      <c r="H16" s="27" t="str">
        <f t="shared" si="0"/>
        <v/>
      </c>
      <c r="I16" s="28" t="str">
        <f t="shared" si="1"/>
        <v/>
      </c>
    </row>
    <row r="17" spans="1:9" ht="21.75" customHeight="1" x14ac:dyDescent="0.35">
      <c r="A17" s="17">
        <v>9</v>
      </c>
      <c r="B17" s="17" t="s">
        <v>890</v>
      </c>
      <c r="C17" s="18" t="s">
        <v>891</v>
      </c>
      <c r="D17" s="19" t="s">
        <v>885</v>
      </c>
      <c r="E17" s="20" t="str">
        <f>IFERROR(CHOOSE(MATCH('📝 Questionnaire'!D157,{"A","B","C","D"},0),1,2,3,4),"")</f>
        <v/>
      </c>
      <c r="F17" s="20" t="str">
        <f>IFERROR(CHOOSE(MATCH('📝 Questionnaire'!D163,{"A","B","C","D"},0),1,2,3,4),"")</f>
        <v/>
      </c>
      <c r="G17" s="20" t="str">
        <f>IFERROR(CHOOSE(MATCH('📝 Questionnaire'!D169,{"A","B","C","D"},0),1,2,3,4),"")</f>
        <v/>
      </c>
      <c r="H17" s="21" t="str">
        <f t="shared" si="0"/>
        <v/>
      </c>
      <c r="I17" s="22" t="str">
        <f t="shared" si="1"/>
        <v/>
      </c>
    </row>
    <row r="18" spans="1:9" ht="21.75" customHeight="1" x14ac:dyDescent="0.35">
      <c r="A18" s="23">
        <v>10</v>
      </c>
      <c r="B18" s="23" t="s">
        <v>892</v>
      </c>
      <c r="C18" s="24" t="s">
        <v>893</v>
      </c>
      <c r="D18" s="25" t="s">
        <v>885</v>
      </c>
      <c r="E18" s="26" t="str">
        <f>IFERROR(CHOOSE(MATCH('📝 Questionnaire'!D175,{"A","B","C","D"},0),1,2,3,4),"")</f>
        <v/>
      </c>
      <c r="F18" s="26" t="str">
        <f>IFERROR(CHOOSE(MATCH('📝 Questionnaire'!D181,{"A","B","C","D"},0),1,2,3,4),"")</f>
        <v/>
      </c>
      <c r="G18" s="26" t="str">
        <f>IFERROR(CHOOSE(MATCH('📝 Questionnaire'!D187,{"A","B","C","D"},0),1,2,3,4),"")</f>
        <v/>
      </c>
      <c r="H18" s="27" t="str">
        <f t="shared" si="0"/>
        <v/>
      </c>
      <c r="I18" s="28" t="str">
        <f t="shared" si="1"/>
        <v/>
      </c>
    </row>
    <row r="19" spans="1:9" ht="21.75" customHeight="1" x14ac:dyDescent="0.35">
      <c r="A19" s="17">
        <v>11</v>
      </c>
      <c r="B19" s="17" t="s">
        <v>894</v>
      </c>
      <c r="C19" s="18" t="s">
        <v>895</v>
      </c>
      <c r="D19" s="19" t="s">
        <v>885</v>
      </c>
      <c r="E19" s="20" t="str">
        <f>IFERROR(CHOOSE(MATCH('📝 Questionnaire'!D193,{"A","B","C","D"},0),1,2,3,4),"")</f>
        <v/>
      </c>
      <c r="F19" s="20" t="str">
        <f>IFERROR(CHOOSE(MATCH('📝 Questionnaire'!D199,{"A","B","C","D"},0),1,2,3,4),"")</f>
        <v/>
      </c>
      <c r="G19" s="20" t="str">
        <f>IFERROR(CHOOSE(MATCH('📝 Questionnaire'!D205,{"A","B","C","D"},0),1,2,3,4),"")</f>
        <v/>
      </c>
      <c r="H19" s="21" t="str">
        <f t="shared" si="0"/>
        <v/>
      </c>
      <c r="I19" s="22" t="str">
        <f t="shared" si="1"/>
        <v/>
      </c>
    </row>
    <row r="20" spans="1:9" ht="4.5" customHeight="1" x14ac:dyDescent="0.35"/>
    <row r="21" spans="1:9" ht="19.5" customHeight="1" x14ac:dyDescent="0.35">
      <c r="A21" s="64" t="s">
        <v>896</v>
      </c>
      <c r="B21" s="64"/>
      <c r="C21" s="64"/>
      <c r="D21" s="64"/>
      <c r="E21" s="64"/>
      <c r="F21" s="64"/>
      <c r="G21" s="64"/>
      <c r="H21" s="64"/>
      <c r="I21" s="64"/>
    </row>
    <row r="22" spans="1:9" ht="21.75" customHeight="1" x14ac:dyDescent="0.35">
      <c r="A22" s="23">
        <v>12</v>
      </c>
      <c r="B22" s="23" t="s">
        <v>897</v>
      </c>
      <c r="C22" s="24" t="s">
        <v>898</v>
      </c>
      <c r="D22" s="25" t="s">
        <v>899</v>
      </c>
      <c r="E22" s="26" t="str">
        <f>IFERROR(CHOOSE(MATCH('📝 Questionnaire'!D214,{"A","B","C","D"},0),1,2,3,4),"")</f>
        <v/>
      </c>
      <c r="F22" s="26" t="str">
        <f>IFERROR(CHOOSE(MATCH('📝 Questionnaire'!D220,{"A","B","C","D"},0),1,2,3,4),"")</f>
        <v/>
      </c>
      <c r="G22" s="26" t="str">
        <f>IFERROR(CHOOSE(MATCH('📝 Questionnaire'!D226,{"A","B","C","D"},0),1,2,3,4),"")</f>
        <v/>
      </c>
      <c r="H22" s="27" t="str">
        <f>IFERROR(ROUND(AVERAGE(E22:G22),1),"")</f>
        <v/>
      </c>
      <c r="I22" s="28" t="str">
        <f>IF(H22="","",IF(H22&lt;1.5,"1 – Amateur",IF(H22&lt;2.5,"2 – Collaborator",IF(H22&lt;3.5,"3 – Enabler","4 – Driving Force"))))</f>
        <v/>
      </c>
    </row>
    <row r="23" spans="1:9" ht="21.75" customHeight="1" x14ac:dyDescent="0.35">
      <c r="A23" s="17">
        <v>13</v>
      </c>
      <c r="B23" s="17" t="s">
        <v>900</v>
      </c>
      <c r="C23" s="18" t="s">
        <v>901</v>
      </c>
      <c r="D23" s="19" t="s">
        <v>899</v>
      </c>
      <c r="E23" s="20" t="str">
        <f>IFERROR(CHOOSE(MATCH('📝 Questionnaire'!D232,{"A","B","C","D"},0),1,2,3,4),"")</f>
        <v/>
      </c>
      <c r="F23" s="20" t="str">
        <f>IFERROR(CHOOSE(MATCH('📝 Questionnaire'!D238,{"A","B","C","D"},0),1,2,3,4),"")</f>
        <v/>
      </c>
      <c r="G23" s="20" t="str">
        <f>IFERROR(CHOOSE(MATCH('📝 Questionnaire'!D244,{"A","B","C","D"},0),1,2,3,4),"")</f>
        <v/>
      </c>
      <c r="H23" s="21" t="str">
        <f>IFERROR(ROUND(AVERAGE(E23:G23),1),"")</f>
        <v/>
      </c>
      <c r="I23" s="22" t="str">
        <f>IF(H23="","",IF(H23&lt;1.5,"1 – Amateur",IF(H23&lt;2.5,"2 – Collaborator",IF(H23&lt;3.5,"3 – Enabler","4 – Driving Force"))))</f>
        <v/>
      </c>
    </row>
    <row r="24" spans="1:9" ht="21.75" customHeight="1" x14ac:dyDescent="0.35">
      <c r="A24" s="23">
        <v>14</v>
      </c>
      <c r="B24" s="23" t="s">
        <v>902</v>
      </c>
      <c r="C24" s="24" t="s">
        <v>903</v>
      </c>
      <c r="D24" s="25" t="s">
        <v>899</v>
      </c>
      <c r="E24" s="26" t="str">
        <f>IFERROR(CHOOSE(MATCH('📝 Questionnaire'!D250,{"A","B","C","D"},0),1,2,3,4),"")</f>
        <v/>
      </c>
      <c r="F24" s="26" t="str">
        <f>IFERROR(CHOOSE(MATCH('📝 Questionnaire'!D256,{"A","B","C","D"},0),1,2,3,4),"")</f>
        <v/>
      </c>
      <c r="G24" s="26" t="str">
        <f>IFERROR(CHOOSE(MATCH('📝 Questionnaire'!D262,{"A","B","C","D"},0),1,2,3,4),"")</f>
        <v/>
      </c>
      <c r="H24" s="27" t="str">
        <f>IFERROR(ROUND(AVERAGE(E24:G24),1),"")</f>
        <v/>
      </c>
      <c r="I24" s="28" t="str">
        <f>IF(H24="","",IF(H24&lt;1.5,"1 – Amateur",IF(H24&lt;2.5,"2 – Collaborator",IF(H24&lt;3.5,"3 – Enabler","4 – Driving Force"))))</f>
        <v/>
      </c>
    </row>
    <row r="25" spans="1:9" ht="21.75" customHeight="1" x14ac:dyDescent="0.35">
      <c r="A25" s="17">
        <v>15</v>
      </c>
      <c r="B25" s="17" t="s">
        <v>904</v>
      </c>
      <c r="C25" s="18" t="s">
        <v>905</v>
      </c>
      <c r="D25" s="19" t="s">
        <v>899</v>
      </c>
      <c r="E25" s="20" t="str">
        <f>IFERROR(CHOOSE(MATCH('📝 Questionnaire'!D268,{"A","B","C","D"},0),1,2,3,4),"")</f>
        <v/>
      </c>
      <c r="F25" s="20" t="str">
        <f>IFERROR(CHOOSE(MATCH('📝 Questionnaire'!D274,{"A","B","C","D"},0),1,2,3,4),"")</f>
        <v/>
      </c>
      <c r="G25" s="20" t="str">
        <f>IFERROR(CHOOSE(MATCH('📝 Questionnaire'!D280,{"A","B","C","D"},0),1,2,3,4),"")</f>
        <v/>
      </c>
      <c r="H25" s="21" t="str">
        <f>IFERROR(ROUND(AVERAGE(E25:G25),1),"")</f>
        <v/>
      </c>
      <c r="I25" s="22" t="str">
        <f>IF(H25="","",IF(H25&lt;1.5,"1 – Amateur",IF(H25&lt;2.5,"2 – Collaborator",IF(H25&lt;3.5,"3 – Enabler","4 – Driving Force"))))</f>
        <v/>
      </c>
    </row>
    <row r="26" spans="1:9" ht="21.75" customHeight="1" x14ac:dyDescent="0.35">
      <c r="A26" s="23">
        <v>16</v>
      </c>
      <c r="B26" s="23" t="s">
        <v>906</v>
      </c>
      <c r="C26" s="24" t="s">
        <v>907</v>
      </c>
      <c r="D26" s="25" t="s">
        <v>899</v>
      </c>
      <c r="E26" s="26" t="str">
        <f>IFERROR(CHOOSE(MATCH('📝 Questionnaire'!D286,{"A","B","C","D"},0),1,2,3,4),"")</f>
        <v/>
      </c>
      <c r="F26" s="26" t="str">
        <f>IFERROR(CHOOSE(MATCH('📝 Questionnaire'!D292,{"A","B","C","D"},0),1,2,3,4),"")</f>
        <v/>
      </c>
      <c r="G26" s="26" t="str">
        <f>IFERROR(CHOOSE(MATCH('📝 Questionnaire'!D298,{"A","B","C","D"},0),1,2,3,4),"")</f>
        <v/>
      </c>
      <c r="H26" s="27" t="str">
        <f>IFERROR(ROUND(AVERAGE(E26:G26),1),"")</f>
        <v/>
      </c>
      <c r="I26" s="28" t="str">
        <f>IF(H26="","",IF(H26&lt;1.5,"1 – Amateur",IF(H26&lt;2.5,"2 – Collaborator",IF(H26&lt;3.5,"3 – Enabler","4 – Driving Force"))))</f>
        <v/>
      </c>
    </row>
    <row r="27" spans="1:9" ht="4.5" customHeight="1" x14ac:dyDescent="0.35"/>
    <row r="28" spans="1:9" ht="19.5" customHeight="1" x14ac:dyDescent="0.35">
      <c r="A28" s="55" t="s">
        <v>908</v>
      </c>
      <c r="B28" s="55"/>
      <c r="C28" s="55"/>
      <c r="D28" s="55"/>
      <c r="E28" s="55"/>
      <c r="F28" s="55"/>
      <c r="G28" s="55"/>
      <c r="H28" s="55"/>
      <c r="I28" s="55"/>
    </row>
    <row r="29" spans="1:9" ht="21.75" customHeight="1" x14ac:dyDescent="0.35">
      <c r="A29" s="17">
        <v>17</v>
      </c>
      <c r="B29" s="17" t="s">
        <v>909</v>
      </c>
      <c r="C29" s="18" t="s">
        <v>910</v>
      </c>
      <c r="D29" s="19" t="s">
        <v>911</v>
      </c>
      <c r="E29" s="20" t="str">
        <f>IFERROR(CHOOSE(MATCH('📝 Questionnaire'!D307,{"A","B","C","D"},0),1,2,3,4),"")</f>
        <v/>
      </c>
      <c r="F29" s="20" t="str">
        <f>IFERROR(CHOOSE(MATCH('📝 Questionnaire'!D313,{"A","B","C","D"},0),1,2,3,4),"")</f>
        <v/>
      </c>
      <c r="G29" s="20" t="str">
        <f>IFERROR(CHOOSE(MATCH('📝 Questionnaire'!D319,{"A","B","C","D"},0),1,2,3,4),"")</f>
        <v/>
      </c>
      <c r="H29" s="21" t="str">
        <f>IFERROR(ROUND(AVERAGE(E29:G29),1),"")</f>
        <v/>
      </c>
      <c r="I29" s="22" t="str">
        <f>IF(H29="","",IF(H29&lt;1.5,"1 – Amateur",IF(H29&lt;2.5,"2 – Collaborator",IF(H29&lt;3.5,"3 – Enabler","4 – Driving Force"))))</f>
        <v/>
      </c>
    </row>
    <row r="30" spans="1:9" ht="21.75" customHeight="1" x14ac:dyDescent="0.35">
      <c r="A30" s="23">
        <v>18</v>
      </c>
      <c r="B30" s="23" t="s">
        <v>912</v>
      </c>
      <c r="C30" s="24" t="s">
        <v>913</v>
      </c>
      <c r="D30" s="25" t="s">
        <v>911</v>
      </c>
      <c r="E30" s="26" t="str">
        <f>IFERROR(CHOOSE(MATCH('📝 Questionnaire'!D325,{"A","B","C","D"},0),1,2,3,4),"")</f>
        <v/>
      </c>
      <c r="F30" s="26" t="str">
        <f>IFERROR(CHOOSE(MATCH('📝 Questionnaire'!D331,{"A","B","C","D"},0),1,2,3,4),"")</f>
        <v/>
      </c>
      <c r="G30" s="26" t="str">
        <f>IFERROR(CHOOSE(MATCH('📝 Questionnaire'!D337,{"A","B","C","D"},0),1,2,3,4),"")</f>
        <v/>
      </c>
      <c r="H30" s="27" t="str">
        <f>IFERROR(ROUND(AVERAGE(E30:G30),1),"")</f>
        <v/>
      </c>
      <c r="I30" s="28" t="str">
        <f>IF(H30="","",IF(H30&lt;1.5,"1 – Amateur",IF(H30&lt;2.5,"2 – Collaborator",IF(H30&lt;3.5,"3 – Enabler","4 – Driving Force"))))</f>
        <v/>
      </c>
    </row>
    <row r="31" spans="1:9" ht="21.75" customHeight="1" x14ac:dyDescent="0.35">
      <c r="A31" s="17">
        <v>19</v>
      </c>
      <c r="B31" s="17" t="s">
        <v>914</v>
      </c>
      <c r="C31" s="18" t="s">
        <v>915</v>
      </c>
      <c r="D31" s="19" t="s">
        <v>911</v>
      </c>
      <c r="E31" s="20" t="str">
        <f>IFERROR(CHOOSE(MATCH('📝 Questionnaire'!D343,{"A","B","C","D"},0),1,2,3,4),"")</f>
        <v/>
      </c>
      <c r="F31" s="20" t="str">
        <f>IFERROR(CHOOSE(MATCH('📝 Questionnaire'!D349,{"A","B","C","D"},0),1,2,3,4),"")</f>
        <v/>
      </c>
      <c r="G31" s="20" t="str">
        <f>IFERROR(CHOOSE(MATCH('📝 Questionnaire'!D355,{"A","B","C","D"},0),1,2,3,4),"")</f>
        <v/>
      </c>
      <c r="H31" s="21" t="str">
        <f>IFERROR(ROUND(AVERAGE(E31:G31),1),"")</f>
        <v/>
      </c>
      <c r="I31" s="22" t="str">
        <f>IF(H31="","",IF(H31&lt;1.5,"1 – Amateur",IF(H31&lt;2.5,"2 – Collaborator",IF(H31&lt;3.5,"3 – Enabler","4 – Driving Force"))))</f>
        <v/>
      </c>
    </row>
    <row r="32" spans="1:9" ht="21.75" customHeight="1" x14ac:dyDescent="0.35">
      <c r="A32" s="23">
        <v>20</v>
      </c>
      <c r="B32" s="23" t="s">
        <v>916</v>
      </c>
      <c r="C32" s="24" t="s">
        <v>917</v>
      </c>
      <c r="D32" s="25" t="s">
        <v>911</v>
      </c>
      <c r="E32" s="26" t="str">
        <f>IFERROR(CHOOSE(MATCH('📝 Questionnaire'!D361,{"A","B","C","D"},0),1,2,3,4),"")</f>
        <v/>
      </c>
      <c r="F32" s="26" t="str">
        <f>IFERROR(CHOOSE(MATCH('📝 Questionnaire'!D367,{"A","B","C","D"},0),1,2,3,4),"")</f>
        <v/>
      </c>
      <c r="G32" s="26" t="str">
        <f>IFERROR(CHOOSE(MATCH('📝 Questionnaire'!D373,{"A","B","C","D"},0),1,2,3,4),"")</f>
        <v/>
      </c>
      <c r="H32" s="27" t="str">
        <f>IFERROR(ROUND(AVERAGE(E32:G32),1),"")</f>
        <v/>
      </c>
      <c r="I32" s="28" t="str">
        <f>IF(H32="","",IF(H32&lt;1.5,"1 – Amateur",IF(H32&lt;2.5,"2 – Collaborator",IF(H32&lt;3.5,"3 – Enabler","4 – Driving Force"))))</f>
        <v/>
      </c>
    </row>
    <row r="33" spans="1:9" ht="21.75" customHeight="1" x14ac:dyDescent="0.35">
      <c r="A33" s="17">
        <v>21</v>
      </c>
      <c r="B33" s="17" t="s">
        <v>918</v>
      </c>
      <c r="C33" s="18" t="s">
        <v>919</v>
      </c>
      <c r="D33" s="19" t="s">
        <v>911</v>
      </c>
      <c r="E33" s="20" t="str">
        <f>IFERROR(CHOOSE(MATCH('📝 Questionnaire'!D379,{"A","B","C","D"},0),1,2,3,4),"")</f>
        <v/>
      </c>
      <c r="F33" s="20" t="str">
        <f>IFERROR(CHOOSE(MATCH('📝 Questionnaire'!D385,{"A","B","C","D"},0),1,2,3,4),"")</f>
        <v/>
      </c>
      <c r="G33" s="20" t="str">
        <f>IFERROR(CHOOSE(MATCH('📝 Questionnaire'!D391,{"A","B","C","D"},0),1,2,3,4),"")</f>
        <v/>
      </c>
      <c r="H33" s="21" t="str">
        <f>IFERROR(ROUND(AVERAGE(E33:G33),1),"")</f>
        <v/>
      </c>
      <c r="I33" s="22" t="str">
        <f>IF(H33="","",IF(H33&lt;1.5,"1 – Amateur",IF(H33&lt;2.5,"2 – Collaborator",IF(H33&lt;3.5,"3 – Enabler","4 – Driving Force"))))</f>
        <v/>
      </c>
    </row>
    <row r="34" spans="1:9" ht="4.5" customHeight="1" x14ac:dyDescent="0.35"/>
    <row r="35" spans="1:9" ht="19.5" customHeight="1" x14ac:dyDescent="0.35">
      <c r="A35" s="56" t="s">
        <v>920</v>
      </c>
      <c r="B35" s="56"/>
      <c r="C35" s="56"/>
      <c r="D35" s="56"/>
      <c r="E35" s="56"/>
      <c r="F35" s="56"/>
      <c r="G35" s="56"/>
      <c r="H35" s="56"/>
      <c r="I35" s="56"/>
    </row>
    <row r="36" spans="1:9" ht="21.75" customHeight="1" x14ac:dyDescent="0.35">
      <c r="A36" s="23">
        <v>22</v>
      </c>
      <c r="B36" s="23" t="s">
        <v>921</v>
      </c>
      <c r="C36" s="24" t="s">
        <v>922</v>
      </c>
      <c r="D36" s="25" t="s">
        <v>923</v>
      </c>
      <c r="E36" s="26" t="str">
        <f>IFERROR(CHOOSE(MATCH('📝 Questionnaire'!D400,{"A","B","C","D"},0),1,2,3,4),"")</f>
        <v/>
      </c>
      <c r="F36" s="26" t="str">
        <f>IFERROR(CHOOSE(MATCH('📝 Questionnaire'!D406,{"A","B","C","D"},0),1,2,3,4),"")</f>
        <v/>
      </c>
      <c r="G36" s="26" t="str">
        <f>IFERROR(CHOOSE(MATCH('📝 Questionnaire'!D412,{"A","B","C","D"},0),1,2,3,4),"")</f>
        <v/>
      </c>
      <c r="H36" s="27" t="str">
        <f t="shared" ref="H36:H41" si="2">IFERROR(ROUND(AVERAGE(E36:G36),1),"")</f>
        <v/>
      </c>
      <c r="I36" s="28" t="str">
        <f t="shared" ref="I36:I41" si="3">IF(H36="","",IF(H36&lt;1.5,"1 – Amateur",IF(H36&lt;2.5,"2 – Collaborator",IF(H36&lt;3.5,"3 – Enabler","4 – Driving Force"))))</f>
        <v/>
      </c>
    </row>
    <row r="37" spans="1:9" ht="21.75" customHeight="1" x14ac:dyDescent="0.35">
      <c r="A37" s="17">
        <v>23</v>
      </c>
      <c r="B37" s="17" t="s">
        <v>924</v>
      </c>
      <c r="C37" s="18" t="s">
        <v>925</v>
      </c>
      <c r="D37" s="19" t="s">
        <v>923</v>
      </c>
      <c r="E37" s="20" t="str">
        <f>IFERROR(CHOOSE(MATCH('📝 Questionnaire'!D418,{"A","B","C","D"},0),1,2,3,4),"")</f>
        <v/>
      </c>
      <c r="F37" s="20" t="str">
        <f>IFERROR(CHOOSE(MATCH('📝 Questionnaire'!D424,{"A","B","C","D"},0),1,2,3,4),"")</f>
        <v/>
      </c>
      <c r="G37" s="20" t="str">
        <f>IFERROR(CHOOSE(MATCH('📝 Questionnaire'!D430,{"A","B","C","D"},0),1,2,3,4),"")</f>
        <v/>
      </c>
      <c r="H37" s="21" t="str">
        <f t="shared" si="2"/>
        <v/>
      </c>
      <c r="I37" s="22" t="str">
        <f t="shared" si="3"/>
        <v/>
      </c>
    </row>
    <row r="38" spans="1:9" ht="21.75" customHeight="1" x14ac:dyDescent="0.35">
      <c r="A38" s="23">
        <v>24</v>
      </c>
      <c r="B38" s="23" t="s">
        <v>926</v>
      </c>
      <c r="C38" s="24" t="s">
        <v>927</v>
      </c>
      <c r="D38" s="25" t="s">
        <v>923</v>
      </c>
      <c r="E38" s="26" t="str">
        <f>IFERROR(CHOOSE(MATCH('📝 Questionnaire'!D436,{"A","B","C","D"},0),1,2,3,4),"")</f>
        <v/>
      </c>
      <c r="F38" s="26" t="str">
        <f>IFERROR(CHOOSE(MATCH('📝 Questionnaire'!D442,{"A","B","C","D"},0),1,2,3,4),"")</f>
        <v/>
      </c>
      <c r="G38" s="26" t="str">
        <f>IFERROR(CHOOSE(MATCH('📝 Questionnaire'!D448,{"A","B","C","D"},0),1,2,3,4),"")</f>
        <v/>
      </c>
      <c r="H38" s="27" t="str">
        <f t="shared" si="2"/>
        <v/>
      </c>
      <c r="I38" s="28" t="str">
        <f t="shared" si="3"/>
        <v/>
      </c>
    </row>
    <row r="39" spans="1:9" ht="21.75" customHeight="1" x14ac:dyDescent="0.35">
      <c r="A39" s="17">
        <v>25</v>
      </c>
      <c r="B39" s="17" t="s">
        <v>928</v>
      </c>
      <c r="C39" s="18" t="s">
        <v>929</v>
      </c>
      <c r="D39" s="19" t="s">
        <v>923</v>
      </c>
      <c r="E39" s="20" t="str">
        <f>IFERROR(CHOOSE(MATCH('📝 Questionnaire'!D454,{"A","B","C","D"},0),1,2,3,4),"")</f>
        <v/>
      </c>
      <c r="F39" s="20" t="str">
        <f>IFERROR(CHOOSE(MATCH('📝 Questionnaire'!D460,{"A","B","C","D"},0),1,2,3,4),"")</f>
        <v/>
      </c>
      <c r="G39" s="20" t="str">
        <f>IFERROR(CHOOSE(MATCH('📝 Questionnaire'!D466,{"A","B","C","D"},0),1,2,3,4),"")</f>
        <v/>
      </c>
      <c r="H39" s="21" t="str">
        <f t="shared" si="2"/>
        <v/>
      </c>
      <c r="I39" s="22" t="str">
        <f t="shared" si="3"/>
        <v/>
      </c>
    </row>
    <row r="40" spans="1:9" ht="21.75" customHeight="1" x14ac:dyDescent="0.35">
      <c r="A40" s="23">
        <v>26</v>
      </c>
      <c r="B40" s="23" t="s">
        <v>930</v>
      </c>
      <c r="C40" s="24" t="s">
        <v>931</v>
      </c>
      <c r="D40" s="25" t="s">
        <v>923</v>
      </c>
      <c r="E40" s="26" t="str">
        <f>IFERROR(CHOOSE(MATCH('📝 Questionnaire'!D472,{"A","B","C","D"},0),1,2,3,4),"")</f>
        <v/>
      </c>
      <c r="F40" s="26" t="str">
        <f>IFERROR(CHOOSE(MATCH('📝 Questionnaire'!D478,{"A","B","C","D"},0),1,2,3,4),"")</f>
        <v/>
      </c>
      <c r="G40" s="26" t="str">
        <f>IFERROR(CHOOSE(MATCH('📝 Questionnaire'!D484,{"A","B","C","D"},0),1,2,3,4),"")</f>
        <v/>
      </c>
      <c r="H40" s="27" t="str">
        <f t="shared" si="2"/>
        <v/>
      </c>
      <c r="I40" s="28" t="str">
        <f t="shared" si="3"/>
        <v/>
      </c>
    </row>
    <row r="41" spans="1:9" ht="21.75" customHeight="1" x14ac:dyDescent="0.35">
      <c r="A41" s="17">
        <v>27</v>
      </c>
      <c r="B41" s="17" t="s">
        <v>932</v>
      </c>
      <c r="C41" s="18" t="s">
        <v>933</v>
      </c>
      <c r="D41" s="19" t="s">
        <v>923</v>
      </c>
      <c r="E41" s="20" t="str">
        <f>IFERROR(CHOOSE(MATCH('📝 Questionnaire'!D490,{"A","B","C","D"},0),1,2,3,4),"")</f>
        <v/>
      </c>
      <c r="F41" s="20" t="str">
        <f>IFERROR(CHOOSE(MATCH('📝 Questionnaire'!D496,{"A","B","C","D"},0),1,2,3,4),"")</f>
        <v/>
      </c>
      <c r="G41" s="20" t="str">
        <f>IFERROR(CHOOSE(MATCH('📝 Questionnaire'!D502,{"A","B","C","D"},0),1,2,3,4),"")</f>
        <v/>
      </c>
      <c r="H41" s="21" t="str">
        <f t="shared" si="2"/>
        <v/>
      </c>
      <c r="I41" s="22" t="str">
        <f t="shared" si="3"/>
        <v/>
      </c>
    </row>
    <row r="42" spans="1:9" ht="4.5" customHeight="1" x14ac:dyDescent="0.35"/>
    <row r="43" spans="1:9" ht="19.5" customHeight="1" x14ac:dyDescent="0.35">
      <c r="A43" s="57" t="s">
        <v>934</v>
      </c>
      <c r="B43" s="57"/>
      <c r="C43" s="57"/>
      <c r="D43" s="57"/>
      <c r="E43" s="57"/>
      <c r="F43" s="57"/>
      <c r="G43" s="57"/>
      <c r="H43" s="57"/>
      <c r="I43" s="57"/>
    </row>
    <row r="44" spans="1:9" ht="21.75" customHeight="1" x14ac:dyDescent="0.35">
      <c r="A44" s="23">
        <v>28</v>
      </c>
      <c r="B44" s="23" t="s">
        <v>935</v>
      </c>
      <c r="C44" s="24" t="s">
        <v>936</v>
      </c>
      <c r="D44" s="25" t="s">
        <v>937</v>
      </c>
      <c r="E44" s="26" t="str">
        <f>IFERROR(CHOOSE(MATCH('📝 Questionnaire'!D511,{"A","B","C","D"},0),1,2,3,4),"")</f>
        <v/>
      </c>
      <c r="F44" s="26" t="str">
        <f>IFERROR(CHOOSE(MATCH('📝 Questionnaire'!D517,{"A","B","C","D"},0),1,2,3,4),"")</f>
        <v/>
      </c>
      <c r="G44" s="26" t="str">
        <f>IFERROR(CHOOSE(MATCH('📝 Questionnaire'!D523,{"A","B","C","D"},0),1,2,3,4),"")</f>
        <v/>
      </c>
      <c r="H44" s="27" t="str">
        <f t="shared" ref="H44:H49" si="4">IFERROR(ROUND(AVERAGE(E44:G44),1),"")</f>
        <v/>
      </c>
      <c r="I44" s="28" t="str">
        <f t="shared" ref="I44:I49" si="5">IF(H44="","",IF(H44&lt;1.5,"1 – Amateur",IF(H44&lt;2.5,"2 – Collaborator",IF(H44&lt;3.5,"3 – Enabler","4 – Driving Force"))))</f>
        <v/>
      </c>
    </row>
    <row r="45" spans="1:9" ht="21.75" customHeight="1" x14ac:dyDescent="0.35">
      <c r="A45" s="17">
        <v>29</v>
      </c>
      <c r="B45" s="17" t="s">
        <v>938</v>
      </c>
      <c r="C45" s="18" t="s">
        <v>939</v>
      </c>
      <c r="D45" s="19" t="s">
        <v>937</v>
      </c>
      <c r="E45" s="20" t="str">
        <f>IFERROR(CHOOSE(MATCH('📝 Questionnaire'!D529,{"A","B","C","D"},0),1,2,3,4),"")</f>
        <v/>
      </c>
      <c r="F45" s="20" t="str">
        <f>IFERROR(CHOOSE(MATCH('📝 Questionnaire'!D535,{"A","B","C","D"},0),1,2,3,4),"")</f>
        <v/>
      </c>
      <c r="G45" s="20" t="str">
        <f>IFERROR(CHOOSE(MATCH('📝 Questionnaire'!D541,{"A","B","C","D"},0),1,2,3,4),"")</f>
        <v/>
      </c>
      <c r="H45" s="21" t="str">
        <f t="shared" si="4"/>
        <v/>
      </c>
      <c r="I45" s="22" t="str">
        <f t="shared" si="5"/>
        <v/>
      </c>
    </row>
    <row r="46" spans="1:9" ht="21.75" customHeight="1" x14ac:dyDescent="0.35">
      <c r="A46" s="23">
        <v>30</v>
      </c>
      <c r="B46" s="23" t="s">
        <v>940</v>
      </c>
      <c r="C46" s="24" t="s">
        <v>941</v>
      </c>
      <c r="D46" s="25" t="s">
        <v>937</v>
      </c>
      <c r="E46" s="26" t="str">
        <f>IFERROR(CHOOSE(MATCH('📝 Questionnaire'!D547,{"A","B","C","D"},0),1,2,3,4),"")</f>
        <v/>
      </c>
      <c r="F46" s="26" t="str">
        <f>IFERROR(CHOOSE(MATCH('📝 Questionnaire'!D553,{"A","B","C","D"},0),1,2,3,4),"")</f>
        <v/>
      </c>
      <c r="G46" s="26" t="str">
        <f>IFERROR(CHOOSE(MATCH('📝 Questionnaire'!D559,{"A","B","C","D"},0),1,2,3,4),"")</f>
        <v/>
      </c>
      <c r="H46" s="27" t="str">
        <f t="shared" si="4"/>
        <v/>
      </c>
      <c r="I46" s="28" t="str">
        <f t="shared" si="5"/>
        <v/>
      </c>
    </row>
    <row r="47" spans="1:9" ht="21.75" customHeight="1" x14ac:dyDescent="0.35">
      <c r="A47" s="17">
        <v>31</v>
      </c>
      <c r="B47" s="17" t="s">
        <v>942</v>
      </c>
      <c r="C47" s="18" t="s">
        <v>943</v>
      </c>
      <c r="D47" s="19" t="s">
        <v>937</v>
      </c>
      <c r="E47" s="20" t="str">
        <f>IFERROR(CHOOSE(MATCH('📝 Questionnaire'!D565,{"A","B","C","D"},0),1,2,3,4),"")</f>
        <v/>
      </c>
      <c r="F47" s="20" t="str">
        <f>IFERROR(CHOOSE(MATCH('📝 Questionnaire'!D571,{"A","B","C","D"},0),1,2,3,4),"")</f>
        <v/>
      </c>
      <c r="G47" s="20" t="str">
        <f>IFERROR(CHOOSE(MATCH('📝 Questionnaire'!D577,{"A","B","C","D"},0),1,2,3,4),"")</f>
        <v/>
      </c>
      <c r="H47" s="21" t="str">
        <f t="shared" si="4"/>
        <v/>
      </c>
      <c r="I47" s="22" t="str">
        <f t="shared" si="5"/>
        <v/>
      </c>
    </row>
    <row r="48" spans="1:9" ht="21.75" customHeight="1" x14ac:dyDescent="0.35">
      <c r="A48" s="23">
        <v>32</v>
      </c>
      <c r="B48" s="23" t="s">
        <v>944</v>
      </c>
      <c r="C48" s="24" t="s">
        <v>945</v>
      </c>
      <c r="D48" s="25" t="s">
        <v>937</v>
      </c>
      <c r="E48" s="26" t="str">
        <f>IFERROR(CHOOSE(MATCH('📝 Questionnaire'!D583,{"A","B","C","D"},0),1,2,3,4),"")</f>
        <v/>
      </c>
      <c r="F48" s="26" t="str">
        <f>IFERROR(CHOOSE(MATCH('📝 Questionnaire'!D589,{"A","B","C","D"},0),1,2,3,4),"")</f>
        <v/>
      </c>
      <c r="G48" s="26" t="str">
        <f>IFERROR(CHOOSE(MATCH('📝 Questionnaire'!D595,{"A","B","C","D"},0),1,2,3,4),"")</f>
        <v/>
      </c>
      <c r="H48" s="27" t="str">
        <f t="shared" si="4"/>
        <v/>
      </c>
      <c r="I48" s="28" t="str">
        <f t="shared" si="5"/>
        <v/>
      </c>
    </row>
    <row r="49" spans="1:9" ht="21.75" customHeight="1" x14ac:dyDescent="0.35">
      <c r="A49" s="17">
        <v>33</v>
      </c>
      <c r="B49" s="17" t="s">
        <v>946</v>
      </c>
      <c r="C49" s="18" t="s">
        <v>947</v>
      </c>
      <c r="D49" s="19" t="s">
        <v>937</v>
      </c>
      <c r="E49" s="20" t="str">
        <f>IFERROR(CHOOSE(MATCH('📝 Questionnaire'!D601,{"A","B","C","D"},0),1,2,3,4),"")</f>
        <v/>
      </c>
      <c r="F49" s="20" t="str">
        <f>IFERROR(CHOOSE(MATCH('📝 Questionnaire'!D607,{"A","B","C","D"},0),1,2,3,4),"")</f>
        <v/>
      </c>
      <c r="G49" s="20" t="str">
        <f>IFERROR(CHOOSE(MATCH('📝 Questionnaire'!D613,{"A","B","C","D"},0),1,2,3,4),"")</f>
        <v/>
      </c>
      <c r="H49" s="21" t="str">
        <f t="shared" si="4"/>
        <v/>
      </c>
      <c r="I49" s="22" t="str">
        <f t="shared" si="5"/>
        <v/>
      </c>
    </row>
    <row r="50" spans="1:9" ht="4.5" customHeight="1" x14ac:dyDescent="0.35"/>
    <row r="51" spans="1:9" ht="19.5" customHeight="1" x14ac:dyDescent="0.35">
      <c r="A51" s="58" t="s">
        <v>948</v>
      </c>
      <c r="B51" s="58"/>
      <c r="C51" s="58"/>
      <c r="D51" s="58"/>
      <c r="E51" s="58"/>
      <c r="F51" s="58"/>
      <c r="G51" s="58"/>
      <c r="H51" s="58"/>
      <c r="I51" s="58"/>
    </row>
    <row r="52" spans="1:9" ht="21.75" customHeight="1" x14ac:dyDescent="0.35">
      <c r="A52" s="23">
        <v>34</v>
      </c>
      <c r="B52" s="23" t="s">
        <v>949</v>
      </c>
      <c r="C52" s="24" t="s">
        <v>950</v>
      </c>
      <c r="D52" s="25" t="s">
        <v>951</v>
      </c>
      <c r="E52" s="26" t="str">
        <f>IFERROR(CHOOSE(MATCH('📝 Questionnaire'!D622,{"A","B","C","D"},0),1,2,3,4),"")</f>
        <v/>
      </c>
      <c r="F52" s="26" t="str">
        <f>IFERROR(CHOOSE(MATCH('📝 Questionnaire'!D628,{"A","B","C","D"},0),1,2,3,4),"")</f>
        <v/>
      </c>
      <c r="G52" s="26" t="str">
        <f>IFERROR(CHOOSE(MATCH('📝 Questionnaire'!D634,{"A","B","C","D"},0),1,2,3,4),"")</f>
        <v/>
      </c>
      <c r="H52" s="27" t="str">
        <f t="shared" ref="H52:H57" si="6">IFERROR(ROUND(AVERAGE(E52:G52),1),"")</f>
        <v/>
      </c>
      <c r="I52" s="28" t="str">
        <f t="shared" ref="I52:I57" si="7">IF(H52="","",IF(H52&lt;1.5,"1 – Amateur",IF(H52&lt;2.5,"2 – Collaborator",IF(H52&lt;3.5,"3 – Enabler","4 – Driving Force"))))</f>
        <v/>
      </c>
    </row>
    <row r="53" spans="1:9" ht="21.75" customHeight="1" x14ac:dyDescent="0.35">
      <c r="A53" s="17">
        <v>35</v>
      </c>
      <c r="B53" s="17" t="s">
        <v>952</v>
      </c>
      <c r="C53" s="18" t="s">
        <v>953</v>
      </c>
      <c r="D53" s="19" t="s">
        <v>951</v>
      </c>
      <c r="E53" s="20" t="str">
        <f>IFERROR(CHOOSE(MATCH('📝 Questionnaire'!D640,{"A","B","C","D"},0),1,2,3,4),"")</f>
        <v/>
      </c>
      <c r="F53" s="20" t="str">
        <f>IFERROR(CHOOSE(MATCH('📝 Questionnaire'!D646,{"A","B","C","D"},0),1,2,3,4),"")</f>
        <v/>
      </c>
      <c r="G53" s="20" t="str">
        <f>IFERROR(CHOOSE(MATCH('📝 Questionnaire'!D652,{"A","B","C","D"},0),1,2,3,4),"")</f>
        <v/>
      </c>
      <c r="H53" s="21" t="str">
        <f t="shared" si="6"/>
        <v/>
      </c>
      <c r="I53" s="22" t="str">
        <f t="shared" si="7"/>
        <v/>
      </c>
    </row>
    <row r="54" spans="1:9" ht="21.75" customHeight="1" x14ac:dyDescent="0.35">
      <c r="A54" s="23">
        <v>36</v>
      </c>
      <c r="B54" s="23" t="s">
        <v>954</v>
      </c>
      <c r="C54" s="24" t="s">
        <v>955</v>
      </c>
      <c r="D54" s="25" t="s">
        <v>951</v>
      </c>
      <c r="E54" s="26" t="str">
        <f>IFERROR(CHOOSE(MATCH('📝 Questionnaire'!D658,{"A","B","C","D"},0),1,2,3,4),"")</f>
        <v/>
      </c>
      <c r="F54" s="26" t="str">
        <f>IFERROR(CHOOSE(MATCH('📝 Questionnaire'!D664,{"A","B","C","D"},0),1,2,3,4),"")</f>
        <v/>
      </c>
      <c r="G54" s="26" t="str">
        <f>IFERROR(CHOOSE(MATCH('📝 Questionnaire'!D670,{"A","B","C","D"},0),1,2,3,4),"")</f>
        <v/>
      </c>
      <c r="H54" s="27" t="str">
        <f t="shared" si="6"/>
        <v/>
      </c>
      <c r="I54" s="28" t="str">
        <f t="shared" si="7"/>
        <v/>
      </c>
    </row>
    <row r="55" spans="1:9" ht="21.75" customHeight="1" x14ac:dyDescent="0.35">
      <c r="A55" s="17">
        <v>37</v>
      </c>
      <c r="B55" s="17" t="s">
        <v>956</v>
      </c>
      <c r="C55" s="18" t="s">
        <v>957</v>
      </c>
      <c r="D55" s="19" t="s">
        <v>951</v>
      </c>
      <c r="E55" s="20" t="str">
        <f>IFERROR(CHOOSE(MATCH('📝 Questionnaire'!D676,{"A","B","C","D"},0),1,2,3,4),"")</f>
        <v/>
      </c>
      <c r="F55" s="20" t="str">
        <f>IFERROR(CHOOSE(MATCH('📝 Questionnaire'!D682,{"A","B","C","D"},0),1,2,3,4),"")</f>
        <v/>
      </c>
      <c r="G55" s="20" t="str">
        <f>IFERROR(CHOOSE(MATCH('📝 Questionnaire'!D688,{"A","B","C","D"},0),1,2,3,4),"")</f>
        <v/>
      </c>
      <c r="H55" s="21" t="str">
        <f t="shared" si="6"/>
        <v/>
      </c>
      <c r="I55" s="22" t="str">
        <f t="shared" si="7"/>
        <v/>
      </c>
    </row>
    <row r="56" spans="1:9" ht="21.75" customHeight="1" x14ac:dyDescent="0.35">
      <c r="A56" s="23">
        <v>38</v>
      </c>
      <c r="B56" s="23" t="s">
        <v>958</v>
      </c>
      <c r="C56" s="24" t="s">
        <v>959</v>
      </c>
      <c r="D56" s="25" t="s">
        <v>951</v>
      </c>
      <c r="E56" s="26" t="str">
        <f>IFERROR(CHOOSE(MATCH('📝 Questionnaire'!D694,{"A","B","C","D"},0),1,2,3,4),"")</f>
        <v/>
      </c>
      <c r="F56" s="26" t="str">
        <f>IFERROR(CHOOSE(MATCH('📝 Questionnaire'!D700,{"A","B","C","D"},0),1,2,3,4),"")</f>
        <v/>
      </c>
      <c r="G56" s="26" t="str">
        <f>IFERROR(CHOOSE(MATCH('📝 Questionnaire'!D706,{"A","B","C","D"},0),1,2,3,4),"")</f>
        <v/>
      </c>
      <c r="H56" s="27" t="str">
        <f t="shared" si="6"/>
        <v/>
      </c>
      <c r="I56" s="28" t="str">
        <f t="shared" si="7"/>
        <v/>
      </c>
    </row>
    <row r="57" spans="1:9" ht="21.75" customHeight="1" x14ac:dyDescent="0.35">
      <c r="A57" s="17">
        <v>39</v>
      </c>
      <c r="B57" s="17" t="s">
        <v>960</v>
      </c>
      <c r="C57" s="18" t="s">
        <v>961</v>
      </c>
      <c r="D57" s="19" t="s">
        <v>951</v>
      </c>
      <c r="E57" s="20" t="str">
        <f>IFERROR(CHOOSE(MATCH('📝 Questionnaire'!D712,{"A","B","C","D"},0),1,2,3,4),"")</f>
        <v/>
      </c>
      <c r="F57" s="20" t="str">
        <f>IFERROR(CHOOSE(MATCH('📝 Questionnaire'!D718,{"A","B","C","D"},0),1,2,3,4),"")</f>
        <v/>
      </c>
      <c r="G57" s="20" t="str">
        <f>IFERROR(CHOOSE(MATCH('📝 Questionnaire'!D724,{"A","B","C","D"},0),1,2,3,4),"")</f>
        <v/>
      </c>
      <c r="H57" s="21" t="str">
        <f t="shared" si="6"/>
        <v/>
      </c>
      <c r="I57" s="22" t="str">
        <f t="shared" si="7"/>
        <v/>
      </c>
    </row>
    <row r="58" spans="1:9" ht="4.5" customHeight="1" x14ac:dyDescent="0.35"/>
    <row r="59" spans="1:9" ht="19.5" customHeight="1" x14ac:dyDescent="0.35">
      <c r="A59" s="59" t="s">
        <v>962</v>
      </c>
      <c r="B59" s="59"/>
      <c r="C59" s="59"/>
      <c r="D59" s="59"/>
      <c r="E59" s="59"/>
      <c r="F59" s="59"/>
      <c r="G59" s="59"/>
      <c r="H59" s="59"/>
      <c r="I59" s="59"/>
    </row>
    <row r="60" spans="1:9" ht="21.75" customHeight="1" x14ac:dyDescent="0.35">
      <c r="A60" s="23">
        <v>40</v>
      </c>
      <c r="B60" s="23" t="s">
        <v>963</v>
      </c>
      <c r="C60" s="24" t="s">
        <v>964</v>
      </c>
      <c r="D60" s="25" t="s">
        <v>965</v>
      </c>
      <c r="E60" s="26" t="str">
        <f>IFERROR(CHOOSE(MATCH('📝 Questionnaire'!D733,{"A","B","C","D"},0),1,2,3,4),"")</f>
        <v/>
      </c>
      <c r="F60" s="26" t="str">
        <f>IFERROR(CHOOSE(MATCH('📝 Questionnaire'!D739,{"A","B","C","D"},0),1,2,3,4),"")</f>
        <v/>
      </c>
      <c r="G60" s="26" t="str">
        <f>IFERROR(CHOOSE(MATCH('📝 Questionnaire'!D745,{"A","B","C","D"},0),1,2,3,4),"")</f>
        <v/>
      </c>
      <c r="H60" s="27" t="str">
        <f t="shared" ref="H60:H65" si="8">IFERROR(ROUND(AVERAGE(E60:G60),1),"")</f>
        <v/>
      </c>
      <c r="I60" s="28" t="str">
        <f t="shared" ref="I60:I65" si="9">IF(H60="","",IF(H60&lt;1.5,"1 – Amateur",IF(H60&lt;2.5,"2 – Collaborator",IF(H60&lt;3.5,"3 – Enabler","4 – Driving Force"))))</f>
        <v/>
      </c>
    </row>
    <row r="61" spans="1:9" ht="21.75" customHeight="1" x14ac:dyDescent="0.35">
      <c r="A61" s="17">
        <v>41</v>
      </c>
      <c r="B61" s="17" t="s">
        <v>966</v>
      </c>
      <c r="C61" s="18" t="s">
        <v>967</v>
      </c>
      <c r="D61" s="19" t="s">
        <v>965</v>
      </c>
      <c r="E61" s="20" t="str">
        <f>IFERROR(CHOOSE(MATCH('📝 Questionnaire'!D751,{"A","B","C","D"},0),1,2,3,4),"")</f>
        <v/>
      </c>
      <c r="F61" s="20" t="str">
        <f>IFERROR(CHOOSE(MATCH('📝 Questionnaire'!D757,{"A","B","C","D"},0),1,2,3,4),"")</f>
        <v/>
      </c>
      <c r="G61" s="20" t="str">
        <f>IFERROR(CHOOSE(MATCH('📝 Questionnaire'!D763,{"A","B","C","D"},0),1,2,3,4),"")</f>
        <v/>
      </c>
      <c r="H61" s="21" t="str">
        <f t="shared" si="8"/>
        <v/>
      </c>
      <c r="I61" s="22" t="str">
        <f t="shared" si="9"/>
        <v/>
      </c>
    </row>
    <row r="62" spans="1:9" ht="21.75" customHeight="1" x14ac:dyDescent="0.35">
      <c r="A62" s="23">
        <v>42</v>
      </c>
      <c r="B62" s="23" t="s">
        <v>968</v>
      </c>
      <c r="C62" s="24" t="s">
        <v>969</v>
      </c>
      <c r="D62" s="25" t="s">
        <v>965</v>
      </c>
      <c r="E62" s="26" t="str">
        <f>IFERROR(CHOOSE(MATCH('📝 Questionnaire'!D769,{"A","B","C","D"},0),1,2,3,4),"")</f>
        <v/>
      </c>
      <c r="F62" s="26" t="str">
        <f>IFERROR(CHOOSE(MATCH('📝 Questionnaire'!D775,{"A","B","C","D"},0),1,2,3,4),"")</f>
        <v/>
      </c>
      <c r="G62" s="26" t="str">
        <f>IFERROR(CHOOSE(MATCH('📝 Questionnaire'!D781,{"A","B","C","D"},0),1,2,3,4),"")</f>
        <v/>
      </c>
      <c r="H62" s="27" t="str">
        <f t="shared" si="8"/>
        <v/>
      </c>
      <c r="I62" s="28" t="str">
        <f t="shared" si="9"/>
        <v/>
      </c>
    </row>
    <row r="63" spans="1:9" ht="21.75" customHeight="1" x14ac:dyDescent="0.35">
      <c r="A63" s="17">
        <v>43</v>
      </c>
      <c r="B63" s="17" t="s">
        <v>970</v>
      </c>
      <c r="C63" s="18" t="s">
        <v>971</v>
      </c>
      <c r="D63" s="19" t="s">
        <v>965</v>
      </c>
      <c r="E63" s="20" t="str">
        <f>IFERROR(CHOOSE(MATCH('📝 Questionnaire'!D787,{"A","B","C","D"},0),1,2,3,4),"")</f>
        <v/>
      </c>
      <c r="F63" s="20" t="str">
        <f>IFERROR(CHOOSE(MATCH('📝 Questionnaire'!D793,{"A","B","C","D"},0),1,2,3,4),"")</f>
        <v/>
      </c>
      <c r="G63" s="20" t="str">
        <f>IFERROR(CHOOSE(MATCH('📝 Questionnaire'!D799,{"A","B","C","D"},0),1,2,3,4),"")</f>
        <v/>
      </c>
      <c r="H63" s="21" t="str">
        <f t="shared" si="8"/>
        <v/>
      </c>
      <c r="I63" s="22" t="str">
        <f t="shared" si="9"/>
        <v/>
      </c>
    </row>
    <row r="64" spans="1:9" ht="21.75" customHeight="1" x14ac:dyDescent="0.35">
      <c r="A64" s="23">
        <v>44</v>
      </c>
      <c r="B64" s="23" t="s">
        <v>972</v>
      </c>
      <c r="C64" s="24" t="s">
        <v>973</v>
      </c>
      <c r="D64" s="25" t="s">
        <v>965</v>
      </c>
      <c r="E64" s="26" t="str">
        <f>IFERROR(CHOOSE(MATCH('📝 Questionnaire'!D805,{"A","B","C","D"},0),1,2,3,4),"")</f>
        <v/>
      </c>
      <c r="F64" s="26" t="str">
        <f>IFERROR(CHOOSE(MATCH('📝 Questionnaire'!D811,{"A","B","C","D"},0),1,2,3,4),"")</f>
        <v/>
      </c>
      <c r="G64" s="26" t="str">
        <f>IFERROR(CHOOSE(MATCH('📝 Questionnaire'!D817,{"A","B","C","D"},0),1,2,3,4),"")</f>
        <v/>
      </c>
      <c r="H64" s="27" t="str">
        <f t="shared" si="8"/>
        <v/>
      </c>
      <c r="I64" s="28" t="str">
        <f t="shared" si="9"/>
        <v/>
      </c>
    </row>
    <row r="65" spans="1:9" ht="21.75" customHeight="1" x14ac:dyDescent="0.35">
      <c r="A65" s="17">
        <v>45</v>
      </c>
      <c r="B65" s="17" t="s">
        <v>974</v>
      </c>
      <c r="C65" s="18" t="s">
        <v>975</v>
      </c>
      <c r="D65" s="19" t="s">
        <v>965</v>
      </c>
      <c r="E65" s="20" t="str">
        <f>IFERROR(CHOOSE(MATCH('📝 Questionnaire'!D823,{"A","B","C","D"},0),1,2,3,4),"")</f>
        <v/>
      </c>
      <c r="F65" s="20" t="str">
        <f>IFERROR(CHOOSE(MATCH('📝 Questionnaire'!D829,{"A","B","C","D"},0),1,2,3,4),"")</f>
        <v/>
      </c>
      <c r="G65" s="20" t="str">
        <f>IFERROR(CHOOSE(MATCH('📝 Questionnaire'!D835,{"A","B","C","D"},0),1,2,3,4),"")</f>
        <v/>
      </c>
      <c r="H65" s="21" t="str">
        <f t="shared" si="8"/>
        <v/>
      </c>
      <c r="I65" s="22" t="str">
        <f t="shared" si="9"/>
        <v/>
      </c>
    </row>
    <row r="66" spans="1:9" ht="9.75" customHeight="1" x14ac:dyDescent="0.35"/>
    <row r="67" spans="1:9" ht="25.5" customHeight="1" x14ac:dyDescent="0.35">
      <c r="A67" s="54" t="s">
        <v>976</v>
      </c>
      <c r="B67" s="54"/>
      <c r="C67" s="54"/>
      <c r="D67" s="54"/>
      <c r="E67" s="54"/>
      <c r="F67" s="54"/>
      <c r="G67" s="54"/>
      <c r="H67" s="54"/>
      <c r="I67" s="54"/>
    </row>
    <row r="68" spans="1:9" ht="21.75" customHeight="1" x14ac:dyDescent="0.35">
      <c r="B68" s="29" t="s">
        <v>977</v>
      </c>
      <c r="C68" s="29" t="s">
        <v>864</v>
      </c>
      <c r="D68" s="29" t="s">
        <v>978</v>
      </c>
      <c r="E68" s="29" t="s">
        <v>979</v>
      </c>
      <c r="F68" s="29" t="s">
        <v>869</v>
      </c>
      <c r="G68" s="29" t="s">
        <v>980</v>
      </c>
    </row>
    <row r="69" spans="1:9" ht="18" customHeight="1" x14ac:dyDescent="0.35">
      <c r="B69" s="17">
        <v>1</v>
      </c>
      <c r="C69" s="30" t="s">
        <v>873</v>
      </c>
      <c r="D69" s="17">
        <v>5</v>
      </c>
      <c r="E69" s="31">
        <f>IFERROR(ROUND(AVERAGE(H7,H8,H9,H10,H11),1),"")</f>
        <v>2.6</v>
      </c>
      <c r="F69" s="32" t="str">
        <f t="shared" ref="F69:F77" si="10">IF(E69="","",IF(E69&lt;1.5,"1 – Amateur",IF(E69&lt;2.5,"2 – Collaborator",IF(E69&lt;3.5,"3 – Enabler","4 – Driving Force"))))</f>
        <v>3 – Enabler</v>
      </c>
      <c r="G69" s="32" t="str">
        <f t="shared" ref="G69:G76" si="11">IF(E69="","—",IF(E69&gt;=3.5,"No Action Needed",IF(E69&gt;=2.5,"Targeted Dev Plan",IF(E69&gt;=1.5,"Structured Dev Plan","Urgent Intervention"))))</f>
        <v>Targeted Dev Plan</v>
      </c>
    </row>
    <row r="70" spans="1:9" ht="18" customHeight="1" x14ac:dyDescent="0.35">
      <c r="B70" s="23">
        <v>2</v>
      </c>
      <c r="C70" s="33" t="s">
        <v>885</v>
      </c>
      <c r="D70" s="23">
        <v>6</v>
      </c>
      <c r="E70" s="34" t="str">
        <f>IFERROR(ROUND(AVERAGE(H14,H15,H16,H17,H18,H19),1),"")</f>
        <v/>
      </c>
      <c r="F70" s="35" t="str">
        <f t="shared" si="10"/>
        <v/>
      </c>
      <c r="G70" s="35" t="str">
        <f t="shared" si="11"/>
        <v>—</v>
      </c>
    </row>
    <row r="71" spans="1:9" ht="18" customHeight="1" x14ac:dyDescent="0.35">
      <c r="B71" s="17">
        <v>3</v>
      </c>
      <c r="C71" s="30" t="s">
        <v>899</v>
      </c>
      <c r="D71" s="17">
        <v>5</v>
      </c>
      <c r="E71" s="31" t="str">
        <f>IFERROR(ROUND(AVERAGE(H22,H23,H24,H25,H26),1),"")</f>
        <v/>
      </c>
      <c r="F71" s="32" t="str">
        <f t="shared" si="10"/>
        <v/>
      </c>
      <c r="G71" s="32" t="str">
        <f t="shared" si="11"/>
        <v>—</v>
      </c>
    </row>
    <row r="72" spans="1:9" ht="18" customHeight="1" x14ac:dyDescent="0.35">
      <c r="B72" s="23">
        <v>4</v>
      </c>
      <c r="C72" s="33" t="s">
        <v>911</v>
      </c>
      <c r="D72" s="23">
        <v>5</v>
      </c>
      <c r="E72" s="34" t="str">
        <f>IFERROR(ROUND(AVERAGE(H29,H30,H31,H32,H33),1),"")</f>
        <v/>
      </c>
      <c r="F72" s="35" t="str">
        <f t="shared" si="10"/>
        <v/>
      </c>
      <c r="G72" s="35" t="str">
        <f t="shared" si="11"/>
        <v>—</v>
      </c>
    </row>
    <row r="73" spans="1:9" ht="18" customHeight="1" x14ac:dyDescent="0.35">
      <c r="B73" s="17">
        <v>5</v>
      </c>
      <c r="C73" s="30" t="s">
        <v>923</v>
      </c>
      <c r="D73" s="17">
        <v>6</v>
      </c>
      <c r="E73" s="31" t="str">
        <f>IFERROR(ROUND(AVERAGE(H36,H37,H38,H39,H40,H41),1),"")</f>
        <v/>
      </c>
      <c r="F73" s="32" t="str">
        <f t="shared" si="10"/>
        <v/>
      </c>
      <c r="G73" s="32" t="str">
        <f t="shared" si="11"/>
        <v>—</v>
      </c>
    </row>
    <row r="74" spans="1:9" ht="18" customHeight="1" x14ac:dyDescent="0.35">
      <c r="B74" s="23">
        <v>6</v>
      </c>
      <c r="C74" s="33" t="s">
        <v>937</v>
      </c>
      <c r="D74" s="23">
        <v>6</v>
      </c>
      <c r="E74" s="34" t="str">
        <f>IFERROR(ROUND(AVERAGE(H44,H45,H46,H47,H48,H49),1),"")</f>
        <v/>
      </c>
      <c r="F74" s="35" t="str">
        <f t="shared" si="10"/>
        <v/>
      </c>
      <c r="G74" s="35" t="str">
        <f t="shared" si="11"/>
        <v>—</v>
      </c>
    </row>
    <row r="75" spans="1:9" ht="18" customHeight="1" x14ac:dyDescent="0.35">
      <c r="B75" s="17">
        <v>7</v>
      </c>
      <c r="C75" s="30" t="s">
        <v>951</v>
      </c>
      <c r="D75" s="17">
        <v>6</v>
      </c>
      <c r="E75" s="31" t="str">
        <f>IFERROR(ROUND(AVERAGE(H52,H53,H54,H55,H56,H57),1),"")</f>
        <v/>
      </c>
      <c r="F75" s="32" t="str">
        <f t="shared" si="10"/>
        <v/>
      </c>
      <c r="G75" s="32" t="str">
        <f t="shared" si="11"/>
        <v>—</v>
      </c>
    </row>
    <row r="76" spans="1:9" ht="18" customHeight="1" x14ac:dyDescent="0.35">
      <c r="B76" s="23">
        <v>8</v>
      </c>
      <c r="C76" s="33" t="s">
        <v>965</v>
      </c>
      <c r="D76" s="23">
        <v>6</v>
      </c>
      <c r="E76" s="34" t="str">
        <f>IFERROR(ROUND(AVERAGE(H60,H61,H62,H63,H64,H65),1),"")</f>
        <v/>
      </c>
      <c r="F76" s="35" t="str">
        <f t="shared" si="10"/>
        <v/>
      </c>
      <c r="G76" s="35" t="str">
        <f t="shared" si="11"/>
        <v>—</v>
      </c>
    </row>
    <row r="77" spans="1:9" ht="24" customHeight="1" x14ac:dyDescent="0.35">
      <c r="B77" s="36" t="s">
        <v>981</v>
      </c>
      <c r="C77" s="36" t="s">
        <v>982</v>
      </c>
      <c r="D77" s="36"/>
      <c r="E77" s="37">
        <f>IFERROR(ROUND(AVERAGE(E69:E76),1),"")</f>
        <v>2.6</v>
      </c>
      <c r="F77" s="36" t="str">
        <f t="shared" si="10"/>
        <v>3 – Enabler</v>
      </c>
      <c r="G77" s="36"/>
    </row>
  </sheetData>
  <mergeCells count="11">
    <mergeCell ref="A1:I1"/>
    <mergeCell ref="A2:I2"/>
    <mergeCell ref="A6:I6"/>
    <mergeCell ref="A13:I13"/>
    <mergeCell ref="A21:I21"/>
    <mergeCell ref="A67:I67"/>
    <mergeCell ref="A28:I28"/>
    <mergeCell ref="A35:I35"/>
    <mergeCell ref="A43:I43"/>
    <mergeCell ref="A51:I51"/>
    <mergeCell ref="A59:I5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 Instructions</vt:lpstr>
      <vt:lpstr>📝 Questionnaire</vt:lpstr>
      <vt:lpstr>📊 Results &amp; Competency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Mehmood Ul Hassan</cp:lastModifiedBy>
  <cp:revision>0</cp:revision>
  <dcterms:created xsi:type="dcterms:W3CDTF">2026-04-23T07:29:26Z</dcterms:created>
  <dcterms:modified xsi:type="dcterms:W3CDTF">2026-05-06T06:17:51Z</dcterms:modified>
  <dc:language>en-US</dc:language>
</cp:coreProperties>
</file>